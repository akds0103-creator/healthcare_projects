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Product_Master" sheetId="2" state="visible" r:id="rId4"/>
    <sheet name="Rep_Targets" sheetId="3" state="visible" r:id="rId5"/>
  </sheets>
  <definedNames>
    <definedName function="false" hidden="true" localSheetId="0" name="_xlnm._FilterDatabase" vbProcedure="false">Sales_Data!$A$1:$Q$254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<sst xmlns="http://schemas.openxmlformats.org/spreadsheetml/2006/main" count="2877" uniqueCount="570">
  <si>
    <t xml:space="preserve">Sale_ID</t>
  </si>
  <si>
    <t xml:space="preserve">Sale_Date</t>
  </si>
  <si>
    <t xml:space="preserve">Rep_ID</t>
  </si>
  <si>
    <t xml:space="preserve">Rep_Name</t>
  </si>
  <si>
    <t xml:space="preserve">Region</t>
  </si>
  <si>
    <t xml:space="preserve">Product_ID</t>
  </si>
  <si>
    <t xml:space="preserve">Product_Name</t>
  </si>
  <si>
    <t xml:space="preserve">Category</t>
  </si>
  <si>
    <t xml:space="preserve">Units_Sold</t>
  </si>
  <si>
    <t xml:space="preserve">Unit_Price</t>
  </si>
  <si>
    <t xml:space="preserve">Discount_Pct</t>
  </si>
  <si>
    <t xml:space="preserve">Revenue</t>
  </si>
  <si>
    <t xml:space="preserve">Target_Revenue</t>
  </si>
  <si>
    <t xml:space="preserve">Customer_ID</t>
  </si>
  <si>
    <t xml:space="preserve">Customer_Type</t>
  </si>
  <si>
    <t xml:space="preserve">Channel</t>
  </si>
  <si>
    <t xml:space="preserve">Revenue_vs_Target</t>
  </si>
  <si>
    <t xml:space="preserve">S1215</t>
  </si>
  <si>
    <t xml:space="preserve">2024-11-27</t>
  </si>
  <si>
    <t xml:space="preserve">R08</t>
  </si>
  <si>
    <t xml:space="preserve">Vikram Joshi</t>
  </si>
  <si>
    <t xml:space="preserve">East</t>
  </si>
  <si>
    <t xml:space="preserve">P010</t>
  </si>
  <si>
    <t xml:space="preserve">Hydrocortisone 1%</t>
  </si>
  <si>
    <t xml:space="preserve">Dermatology</t>
  </si>
  <si>
    <t xml:space="preserve">C143</t>
  </si>
  <si>
    <t xml:space="preserve">Online</t>
  </si>
  <si>
    <t xml:space="preserve">Direct</t>
  </si>
  <si>
    <t xml:space="preserve">S1017</t>
  </si>
  <si>
    <t xml:space="preserve">2024-01-05</t>
  </si>
  <si>
    <t xml:space="preserve">R06</t>
  </si>
  <si>
    <t xml:space="preserve">Deepak Nair</t>
  </si>
  <si>
    <t xml:space="preserve">North</t>
  </si>
  <si>
    <t xml:space="preserve">P003</t>
  </si>
  <si>
    <t xml:space="preserve">Amoxicillin 250mg</t>
  </si>
  <si>
    <t xml:space="preserve">Antibiotics</t>
  </si>
  <si>
    <t xml:space="preserve">C107</t>
  </si>
  <si>
    <t xml:space="preserve">Pharmacy</t>
  </si>
  <si>
    <t xml:space="preserve">S1113</t>
  </si>
  <si>
    <t xml:space="preserve">2024-06-28</t>
  </si>
  <si>
    <t xml:space="preserve">R05</t>
  </si>
  <si>
    <t xml:space="preserve">Kiran Reddy</t>
  </si>
  <si>
    <t xml:space="preserve">Central</t>
  </si>
  <si>
    <t xml:space="preserve">P004</t>
  </si>
  <si>
    <t xml:space="preserve">Azithromycin 500mg</t>
  </si>
  <si>
    <t xml:space="preserve">C136</t>
  </si>
  <si>
    <t xml:space="preserve">Govt</t>
  </si>
  <si>
    <t xml:space="preserve">S1075</t>
  </si>
  <si>
    <t xml:space="preserve">2024-04-20</t>
  </si>
  <si>
    <t xml:space="preserve">P009</t>
  </si>
  <si>
    <t xml:space="preserve">Clotrimazole Cream</t>
  </si>
  <si>
    <t xml:space="preserve">C146</t>
  </si>
  <si>
    <t xml:space="preserve">Hospital</t>
  </si>
  <si>
    <t xml:space="preserve">S1148</t>
  </si>
  <si>
    <t xml:space="preserve">2024-08-03</t>
  </si>
  <si>
    <t xml:space="preserve">R07</t>
  </si>
  <si>
    <t xml:space="preserve">Anjali Singh</t>
  </si>
  <si>
    <t xml:space="preserve">South</t>
  </si>
  <si>
    <t xml:space="preserve">P002</t>
  </si>
  <si>
    <t xml:space="preserve">Ibuprofen 400mg</t>
  </si>
  <si>
    <t xml:space="preserve">Analgesics</t>
  </si>
  <si>
    <t xml:space="preserve">C120</t>
  </si>
  <si>
    <t xml:space="preserve">S1074</t>
  </si>
  <si>
    <t xml:space="preserve">2024-04-11</t>
  </si>
  <si>
    <t xml:space="preserve">R01</t>
  </si>
  <si>
    <t xml:space="preserve">Arjun Mehta</t>
  </si>
  <si>
    <t xml:space="preserve">P008</t>
  </si>
  <si>
    <t xml:space="preserve">Multivitamin Complex</t>
  </si>
  <si>
    <t xml:space="preserve">Vitamins</t>
  </si>
  <si>
    <t xml:space="preserve">C116</t>
  </si>
  <si>
    <t xml:space="preserve">S1209</t>
  </si>
  <si>
    <t xml:space="preserve">2024-11-16</t>
  </si>
  <si>
    <t xml:space="preserve">P005</t>
  </si>
  <si>
    <t xml:space="preserve">Atorvastatin 10mg</t>
  </si>
  <si>
    <t xml:space="preserve">Cardiovascular</t>
  </si>
  <si>
    <t xml:space="preserve">S1153</t>
  </si>
  <si>
    <t xml:space="preserve">2024-08-09</t>
  </si>
  <si>
    <t xml:space="preserve">R04</t>
  </si>
  <si>
    <t xml:space="preserve">Sneha Patel</t>
  </si>
  <si>
    <t xml:space="preserve">West</t>
  </si>
  <si>
    <t xml:space="preserve">C149</t>
  </si>
  <si>
    <t xml:space="preserve">S1161</t>
  </si>
  <si>
    <t xml:space="preserve">2024-08-28</t>
  </si>
  <si>
    <t xml:space="preserve">R03</t>
  </si>
  <si>
    <t xml:space="preserve">Rahul Verma</t>
  </si>
  <si>
    <t xml:space="preserve">C122</t>
  </si>
  <si>
    <t xml:space="preserve">S1183</t>
  </si>
  <si>
    <t xml:space="preserve">2024-09-02</t>
  </si>
  <si>
    <t xml:space="preserve">P006</t>
  </si>
  <si>
    <t xml:space="preserve">Metoprolol 50mg</t>
  </si>
  <si>
    <t xml:space="preserve">S1050</t>
  </si>
  <si>
    <t xml:space="preserve">2024-03-05</t>
  </si>
  <si>
    <t xml:space="preserve">C139</t>
  </si>
  <si>
    <t xml:space="preserve">S1060</t>
  </si>
  <si>
    <t xml:space="preserve">2024-03-03</t>
  </si>
  <si>
    <t xml:space="preserve">C113</t>
  </si>
  <si>
    <t xml:space="preserve">S1117</t>
  </si>
  <si>
    <t xml:space="preserve">2024-06-10</t>
  </si>
  <si>
    <t xml:space="preserve">P007</t>
  </si>
  <si>
    <t xml:space="preserve">Vitamin D3 1000IU</t>
  </si>
  <si>
    <t xml:space="preserve">C123</t>
  </si>
  <si>
    <t xml:space="preserve">S1041</t>
  </si>
  <si>
    <t xml:space="preserve">2024-03-22</t>
  </si>
  <si>
    <t xml:space="preserve">C147</t>
  </si>
  <si>
    <t xml:space="preserve">Clinic</t>
  </si>
  <si>
    <t xml:space="preserve">Distributor</t>
  </si>
  <si>
    <t xml:space="preserve">S1190</t>
  </si>
  <si>
    <t xml:space="preserve">2024-10-12</t>
  </si>
  <si>
    <t xml:space="preserve">P001</t>
  </si>
  <si>
    <t xml:space="preserve">Paracetamol 500mg</t>
  </si>
  <si>
    <t xml:space="preserve">C141</t>
  </si>
  <si>
    <t xml:space="preserve">S1238</t>
  </si>
  <si>
    <t xml:space="preserve">2024-12-15</t>
  </si>
  <si>
    <t xml:space="preserve">C112</t>
  </si>
  <si>
    <t xml:space="preserve">S1150</t>
  </si>
  <si>
    <t xml:space="preserve">2024-08-15</t>
  </si>
  <si>
    <t xml:space="preserve">C125</t>
  </si>
  <si>
    <t xml:space="preserve">S1208</t>
  </si>
  <si>
    <t xml:space="preserve">2024-11-03</t>
  </si>
  <si>
    <t xml:space="preserve">C103</t>
  </si>
  <si>
    <t xml:space="preserve">S1027</t>
  </si>
  <si>
    <t xml:space="preserve">2024-02-03</t>
  </si>
  <si>
    <t xml:space="preserve">S1110</t>
  </si>
  <si>
    <t xml:space="preserve">2024-06-22</t>
  </si>
  <si>
    <t xml:space="preserve">S1187</t>
  </si>
  <si>
    <t xml:space="preserve">2024-10-15</t>
  </si>
  <si>
    <t xml:space="preserve">S1217</t>
  </si>
  <si>
    <t xml:space="preserve">2024-11-08</t>
  </si>
  <si>
    <t xml:space="preserve">S1205</t>
  </si>
  <si>
    <t xml:space="preserve">2024-11-13</t>
  </si>
  <si>
    <t xml:space="preserve">C117</t>
  </si>
  <si>
    <t xml:space="preserve">S1168</t>
  </si>
  <si>
    <t xml:space="preserve">2024-09-15</t>
  </si>
  <si>
    <t xml:space="preserve">C110</t>
  </si>
  <si>
    <t xml:space="preserve">S1154</t>
  </si>
  <si>
    <t xml:space="preserve">2024-08-25</t>
  </si>
  <si>
    <t xml:space="preserve">C104</t>
  </si>
  <si>
    <t xml:space="preserve">S1229</t>
  </si>
  <si>
    <t xml:space="preserve">2024-12-02</t>
  </si>
  <si>
    <t xml:space="preserve">S1195</t>
  </si>
  <si>
    <t xml:space="preserve">2024-10-26</t>
  </si>
  <si>
    <t xml:space="preserve">C135</t>
  </si>
  <si>
    <t xml:space="preserve">S1152</t>
  </si>
  <si>
    <t xml:space="preserve">2024-08-17</t>
  </si>
  <si>
    <t xml:space="preserve">C115</t>
  </si>
  <si>
    <t xml:space="preserve">S1043</t>
  </si>
  <si>
    <t xml:space="preserve">2024-03-09</t>
  </si>
  <si>
    <t xml:space="preserve">C129</t>
  </si>
  <si>
    <t xml:space="preserve">S1029</t>
  </si>
  <si>
    <t xml:space="preserve">2024-02-05</t>
  </si>
  <si>
    <t xml:space="preserve">S1034</t>
  </si>
  <si>
    <t xml:space="preserve">2024-02-18</t>
  </si>
  <si>
    <t xml:space="preserve">S1228</t>
  </si>
  <si>
    <t xml:space="preserve">S1099</t>
  </si>
  <si>
    <t xml:space="preserve">2024-05-03</t>
  </si>
  <si>
    <t xml:space="preserve">C131</t>
  </si>
  <si>
    <t xml:space="preserve">S1125</t>
  </si>
  <si>
    <t xml:space="preserve">2024-06-04</t>
  </si>
  <si>
    <t xml:space="preserve">S1022</t>
  </si>
  <si>
    <t xml:space="preserve">S1176</t>
  </si>
  <si>
    <t xml:space="preserve">2024-09-03</t>
  </si>
  <si>
    <t xml:space="preserve">R02</t>
  </si>
  <si>
    <t xml:space="preserve">Priya Sharma</t>
  </si>
  <si>
    <t xml:space="preserve">C145</t>
  </si>
  <si>
    <t xml:space="preserve">S1032</t>
  </si>
  <si>
    <t xml:space="preserve">2024-02-14</t>
  </si>
  <si>
    <t xml:space="preserve">S1047</t>
  </si>
  <si>
    <t xml:space="preserve">2024-03-04</t>
  </si>
  <si>
    <t xml:space="preserve">C100</t>
  </si>
  <si>
    <t xml:space="preserve">S1064</t>
  </si>
  <si>
    <t xml:space="preserve">2024-04-05</t>
  </si>
  <si>
    <t xml:space="preserve">S1250</t>
  </si>
  <si>
    <t xml:space="preserve">2024-12-05</t>
  </si>
  <si>
    <t xml:space="preserve">C137</t>
  </si>
  <si>
    <t xml:space="preserve">S1184</t>
  </si>
  <si>
    <t xml:space="preserve">2024-09-13</t>
  </si>
  <si>
    <t xml:space="preserve">S1169</t>
  </si>
  <si>
    <t xml:space="preserve">2024-09-05</t>
  </si>
  <si>
    <t xml:space="preserve">S1096</t>
  </si>
  <si>
    <t xml:space="preserve">2024-05-04</t>
  </si>
  <si>
    <t xml:space="preserve">S1193</t>
  </si>
  <si>
    <t xml:space="preserve">2024-10-06</t>
  </si>
  <si>
    <t xml:space="preserve">S1124</t>
  </si>
  <si>
    <t xml:space="preserve">2024-06-20</t>
  </si>
  <si>
    <t xml:space="preserve">C128</t>
  </si>
  <si>
    <t xml:space="preserve">S1061</t>
  </si>
  <si>
    <t xml:space="preserve">2024-03-25</t>
  </si>
  <si>
    <t xml:space="preserve">C119</t>
  </si>
  <si>
    <t xml:space="preserve">S1052</t>
  </si>
  <si>
    <t xml:space="preserve">2024-03-15</t>
  </si>
  <si>
    <t xml:space="preserve">C118</t>
  </si>
  <si>
    <t xml:space="preserve">S1094</t>
  </si>
  <si>
    <t xml:space="preserve">2024-05-16</t>
  </si>
  <si>
    <t xml:space="preserve">S1226</t>
  </si>
  <si>
    <t xml:space="preserve">2024-11-14</t>
  </si>
  <si>
    <t xml:space="preserve">S1185</t>
  </si>
  <si>
    <t xml:space="preserve">2024-10-24</t>
  </si>
  <si>
    <t xml:space="preserve">S1042</t>
  </si>
  <si>
    <t xml:space="preserve">2024-03-28</t>
  </si>
  <si>
    <t xml:space="preserve">C121</t>
  </si>
  <si>
    <t xml:space="preserve">S1006</t>
  </si>
  <si>
    <t xml:space="preserve">2024-01-10</t>
  </si>
  <si>
    <t xml:space="preserve">C114</t>
  </si>
  <si>
    <t xml:space="preserve">S1156</t>
  </si>
  <si>
    <t xml:space="preserve">2024-08-02</t>
  </si>
  <si>
    <t xml:space="preserve">C132</t>
  </si>
  <si>
    <t xml:space="preserve">S1130</t>
  </si>
  <si>
    <t xml:space="preserve">2024-07-04</t>
  </si>
  <si>
    <t xml:space="preserve">S1072</t>
  </si>
  <si>
    <t xml:space="preserve">2024-04-06</t>
  </si>
  <si>
    <t xml:space="preserve">S1222</t>
  </si>
  <si>
    <t xml:space="preserve">2024-11-25</t>
  </si>
  <si>
    <t xml:space="preserve">C150</t>
  </si>
  <si>
    <t xml:space="preserve">S1045</t>
  </si>
  <si>
    <t xml:space="preserve">2024-03-12</t>
  </si>
  <si>
    <t xml:space="preserve">S1016</t>
  </si>
  <si>
    <t xml:space="preserve">2024-01-25</t>
  </si>
  <si>
    <t xml:space="preserve">S1200</t>
  </si>
  <si>
    <t xml:space="preserve">2024-10-21</t>
  </si>
  <si>
    <t xml:space="preserve">S1146</t>
  </si>
  <si>
    <t xml:space="preserve">2024-08-01</t>
  </si>
  <si>
    <t xml:space="preserve">S1160</t>
  </si>
  <si>
    <t xml:space="preserve">2024-08-26</t>
  </si>
  <si>
    <t xml:space="preserve">S1164</t>
  </si>
  <si>
    <t xml:space="preserve">2024-09-08</t>
  </si>
  <si>
    <t xml:space="preserve">C134</t>
  </si>
  <si>
    <t xml:space="preserve">S1013</t>
  </si>
  <si>
    <t xml:space="preserve">2024-01-03</t>
  </si>
  <si>
    <t xml:space="preserve">C127</t>
  </si>
  <si>
    <t xml:space="preserve">S1196</t>
  </si>
  <si>
    <t xml:space="preserve">2024-10-03</t>
  </si>
  <si>
    <t xml:space="preserve">C126</t>
  </si>
  <si>
    <t xml:space="preserve">S1230</t>
  </si>
  <si>
    <t xml:space="preserve">2024-12-16</t>
  </si>
  <si>
    <t xml:space="preserve">S1216</t>
  </si>
  <si>
    <t xml:space="preserve">2024-11-19</t>
  </si>
  <si>
    <t xml:space="preserve">S1046</t>
  </si>
  <si>
    <t xml:space="preserve">S1033</t>
  </si>
  <si>
    <t xml:space="preserve">2024-02-22</t>
  </si>
  <si>
    <t xml:space="preserve">S1191</t>
  </si>
  <si>
    <t xml:space="preserve">2024-10-04</t>
  </si>
  <si>
    <t xml:space="preserve">S1025</t>
  </si>
  <si>
    <t xml:space="preserve">2024-02-24</t>
  </si>
  <si>
    <t xml:space="preserve">C108</t>
  </si>
  <si>
    <t xml:space="preserve">S1181</t>
  </si>
  <si>
    <t xml:space="preserve">2024-09-23</t>
  </si>
  <si>
    <t xml:space="preserve">S1104</t>
  </si>
  <si>
    <t xml:space="preserve">2024-05-02</t>
  </si>
  <si>
    <t xml:space="preserve">S1180</t>
  </si>
  <si>
    <t xml:space="preserve">2024-09-24</t>
  </si>
  <si>
    <t xml:space="preserve">S1244</t>
  </si>
  <si>
    <t xml:space="preserve">2024-12-21</t>
  </si>
  <si>
    <t xml:space="preserve">S1023</t>
  </si>
  <si>
    <t xml:space="preserve">C142</t>
  </si>
  <si>
    <t xml:space="preserve">S1189</t>
  </si>
  <si>
    <t xml:space="preserve">2024-10-08</t>
  </si>
  <si>
    <t xml:space="preserve">S1101</t>
  </si>
  <si>
    <t xml:space="preserve">2024-05-20</t>
  </si>
  <si>
    <t xml:space="preserve">S1084</t>
  </si>
  <si>
    <t xml:space="preserve">2024-05-26</t>
  </si>
  <si>
    <t xml:space="preserve">C138</t>
  </si>
  <si>
    <t xml:space="preserve">S1225</t>
  </si>
  <si>
    <t xml:space="preserve">2024-11-04</t>
  </si>
  <si>
    <t xml:space="preserve">S1088</t>
  </si>
  <si>
    <t xml:space="preserve">2024-05-10</t>
  </si>
  <si>
    <t xml:space="preserve">S1129</t>
  </si>
  <si>
    <t xml:space="preserve">2024-07-12</t>
  </si>
  <si>
    <t xml:space="preserve">S1159</t>
  </si>
  <si>
    <t xml:space="preserve">2024-08-20</t>
  </si>
  <si>
    <t xml:space="preserve">S1090</t>
  </si>
  <si>
    <t xml:space="preserve">2024-05-06</t>
  </si>
  <si>
    <t xml:space="preserve">S1103</t>
  </si>
  <si>
    <t xml:space="preserve">2024-05-25</t>
  </si>
  <si>
    <t xml:space="preserve">C124</t>
  </si>
  <si>
    <t xml:space="preserve">S1111</t>
  </si>
  <si>
    <t xml:space="preserve">2024-06-19</t>
  </si>
  <si>
    <t xml:space="preserve">S1071</t>
  </si>
  <si>
    <t xml:space="preserve">2024-04-28</t>
  </si>
  <si>
    <t xml:space="preserve">S1201</t>
  </si>
  <si>
    <t xml:space="preserve">2024-10-19</t>
  </si>
  <si>
    <t xml:space="preserve">C101</t>
  </si>
  <si>
    <t xml:space="preserve">S1112</t>
  </si>
  <si>
    <t xml:space="preserve">S1003</t>
  </si>
  <si>
    <t xml:space="preserve">2024-01-07</t>
  </si>
  <si>
    <t xml:space="preserve">S1139</t>
  </si>
  <si>
    <t xml:space="preserve">2024-07-28</t>
  </si>
  <si>
    <t xml:space="preserve">S1147</t>
  </si>
  <si>
    <t xml:space="preserve">2024-08-24</t>
  </si>
  <si>
    <t xml:space="preserve">S1175</t>
  </si>
  <si>
    <t xml:space="preserve">2024-09-14</t>
  </si>
  <si>
    <t xml:space="preserve">S1210</t>
  </si>
  <si>
    <t xml:space="preserve">2024-11-12</t>
  </si>
  <si>
    <t xml:space="preserve">S1115</t>
  </si>
  <si>
    <t xml:space="preserve">2024-06-24</t>
  </si>
  <si>
    <t xml:space="preserve">S1158</t>
  </si>
  <si>
    <t xml:space="preserve">2024-08-04</t>
  </si>
  <si>
    <t xml:space="preserve">S1080</t>
  </si>
  <si>
    <t xml:space="preserve">2024-04-04</t>
  </si>
  <si>
    <t xml:space="preserve">S1232</t>
  </si>
  <si>
    <t xml:space="preserve">2024-12-20</t>
  </si>
  <si>
    <t xml:space="preserve">C111</t>
  </si>
  <si>
    <t xml:space="preserve">S1235</t>
  </si>
  <si>
    <t xml:space="preserve">2024-12-06</t>
  </si>
  <si>
    <t xml:space="preserve">S1141</t>
  </si>
  <si>
    <t xml:space="preserve">C109</t>
  </si>
  <si>
    <t xml:space="preserve">S1065</t>
  </si>
  <si>
    <t xml:space="preserve">2024-04-25</t>
  </si>
  <si>
    <t xml:space="preserve">S1028</t>
  </si>
  <si>
    <t xml:space="preserve">2024-02-13</t>
  </si>
  <si>
    <t xml:space="preserve">S1002</t>
  </si>
  <si>
    <t xml:space="preserve">2024-01-19</t>
  </si>
  <si>
    <t xml:space="preserve">S1020</t>
  </si>
  <si>
    <t xml:space="preserve">2024-02-23</t>
  </si>
  <si>
    <t xml:space="preserve">S1131</t>
  </si>
  <si>
    <t xml:space="preserve">2024-07-20</t>
  </si>
  <si>
    <t xml:space="preserve">S1009</t>
  </si>
  <si>
    <t xml:space="preserve">2024-01-15</t>
  </si>
  <si>
    <t xml:space="preserve">S1030</t>
  </si>
  <si>
    <t xml:space="preserve">2024-02-02</t>
  </si>
  <si>
    <t xml:space="preserve">S1178</t>
  </si>
  <si>
    <t xml:space="preserve">2024-09-12</t>
  </si>
  <si>
    <t xml:space="preserve">S1223</t>
  </si>
  <si>
    <t xml:space="preserve">S1018</t>
  </si>
  <si>
    <t xml:space="preserve">2024-01-08</t>
  </si>
  <si>
    <t xml:space="preserve">S1157</t>
  </si>
  <si>
    <t xml:space="preserve">2024-08-19</t>
  </si>
  <si>
    <t xml:space="preserve">S1001</t>
  </si>
  <si>
    <t xml:space="preserve">2024-01-01</t>
  </si>
  <si>
    <t xml:space="preserve">S1140</t>
  </si>
  <si>
    <t xml:space="preserve">C148</t>
  </si>
  <si>
    <t xml:space="preserve">S1007</t>
  </si>
  <si>
    <t xml:space="preserve">2024-01-28</t>
  </si>
  <si>
    <t xml:space="preserve">S1192</t>
  </si>
  <si>
    <t xml:space="preserve">2024-10-23</t>
  </si>
  <si>
    <t xml:space="preserve">S1239</t>
  </si>
  <si>
    <t xml:space="preserve">S1010</t>
  </si>
  <si>
    <t xml:space="preserve">2024-01-27</t>
  </si>
  <si>
    <t xml:space="preserve">S1109</t>
  </si>
  <si>
    <t xml:space="preserve">2024-06-26</t>
  </si>
  <si>
    <t xml:space="preserve">C133</t>
  </si>
  <si>
    <t xml:space="preserve">S1108</t>
  </si>
  <si>
    <t xml:space="preserve">2024-06-14</t>
  </si>
  <si>
    <t xml:space="preserve">S1149</t>
  </si>
  <si>
    <t xml:space="preserve">S1068</t>
  </si>
  <si>
    <t xml:space="preserve">S1008</t>
  </si>
  <si>
    <t xml:space="preserve">2024-01-12</t>
  </si>
  <si>
    <t xml:space="preserve">S1199</t>
  </si>
  <si>
    <t xml:space="preserve">C105</t>
  </si>
  <si>
    <t xml:space="preserve">S1070</t>
  </si>
  <si>
    <t xml:space="preserve">2024-04-26</t>
  </si>
  <si>
    <t xml:space="preserve">S1114</t>
  </si>
  <si>
    <t xml:space="preserve">S1133</t>
  </si>
  <si>
    <t xml:space="preserve">2024-07-09</t>
  </si>
  <si>
    <t xml:space="preserve">C106</t>
  </si>
  <si>
    <t xml:space="preserve">S1206</t>
  </si>
  <si>
    <t xml:space="preserve">2024-11-05</t>
  </si>
  <si>
    <t xml:space="preserve">S1134</t>
  </si>
  <si>
    <t xml:space="preserve">2024-07-24</t>
  </si>
  <si>
    <t xml:space="preserve">S1036</t>
  </si>
  <si>
    <t xml:space="preserve">S1163</t>
  </si>
  <si>
    <t xml:space="preserve">2024-08-21</t>
  </si>
  <si>
    <t xml:space="preserve">S1091</t>
  </si>
  <si>
    <t xml:space="preserve">2024-05-17</t>
  </si>
  <si>
    <t xml:space="preserve">S1044</t>
  </si>
  <si>
    <t xml:space="preserve">2024-03-27</t>
  </si>
  <si>
    <t xml:space="preserve">S1118</t>
  </si>
  <si>
    <t xml:space="preserve">2024-06-09</t>
  </si>
  <si>
    <t xml:space="preserve">S1243</t>
  </si>
  <si>
    <t xml:space="preserve">2024-12-25</t>
  </si>
  <si>
    <t xml:space="preserve">S1126</t>
  </si>
  <si>
    <t xml:space="preserve">S1213</t>
  </si>
  <si>
    <t xml:space="preserve">2024-11-02</t>
  </si>
  <si>
    <t xml:space="preserve">S1087</t>
  </si>
  <si>
    <t xml:space="preserve">S1162</t>
  </si>
  <si>
    <t xml:space="preserve">2024-08-05</t>
  </si>
  <si>
    <t xml:space="preserve">S1241</t>
  </si>
  <si>
    <t xml:space="preserve">S1171</t>
  </si>
  <si>
    <t xml:space="preserve">2024-09-27</t>
  </si>
  <si>
    <t xml:space="preserve">S1059</t>
  </si>
  <si>
    <t xml:space="preserve">C144</t>
  </si>
  <si>
    <t xml:space="preserve">S1211</t>
  </si>
  <si>
    <t xml:space="preserve">S1051</t>
  </si>
  <si>
    <t xml:space="preserve">2024-03-13</t>
  </si>
  <si>
    <t xml:space="preserve">S1040</t>
  </si>
  <si>
    <t xml:space="preserve">S1076</t>
  </si>
  <si>
    <t xml:space="preserve">2024-04-18</t>
  </si>
  <si>
    <t xml:space="preserve">S1219</t>
  </si>
  <si>
    <t xml:space="preserve">2024-11-23</t>
  </si>
  <si>
    <t xml:space="preserve">S1174</t>
  </si>
  <si>
    <t xml:space="preserve">2024-09-01</t>
  </si>
  <si>
    <t xml:space="preserve">S1247</t>
  </si>
  <si>
    <t xml:space="preserve">2024-12-26</t>
  </si>
  <si>
    <t xml:space="preserve">S1005</t>
  </si>
  <si>
    <t xml:space="preserve">2024-01-20</t>
  </si>
  <si>
    <t xml:space="preserve">S1038</t>
  </si>
  <si>
    <t xml:space="preserve">2024-02-28</t>
  </si>
  <si>
    <t xml:space="preserve">S1057</t>
  </si>
  <si>
    <t xml:space="preserve">S1145</t>
  </si>
  <si>
    <t xml:space="preserve">2024-07-14</t>
  </si>
  <si>
    <t xml:space="preserve">S1012</t>
  </si>
  <si>
    <t xml:space="preserve">2024-01-09</t>
  </si>
  <si>
    <t xml:space="preserve">S1227</t>
  </si>
  <si>
    <t xml:space="preserve">2024-11-21</t>
  </si>
  <si>
    <t xml:space="preserve">S1081</t>
  </si>
  <si>
    <t xml:space="preserve">2024-04-09</t>
  </si>
  <si>
    <t xml:space="preserve">S1224</t>
  </si>
  <si>
    <t xml:space="preserve">2024-11-15</t>
  </si>
  <si>
    <t xml:space="preserve">S1177</t>
  </si>
  <si>
    <t xml:space="preserve">S1248</t>
  </si>
  <si>
    <t xml:space="preserve">S1121</t>
  </si>
  <si>
    <t xml:space="preserve">S1026</t>
  </si>
  <si>
    <t xml:space="preserve">2024-02-09</t>
  </si>
  <si>
    <t xml:space="preserve">S1170</t>
  </si>
  <si>
    <t xml:space="preserve">2024-09-10</t>
  </si>
  <si>
    <t xml:space="preserve">S1128</t>
  </si>
  <si>
    <t xml:space="preserve">S1132</t>
  </si>
  <si>
    <t xml:space="preserve">S1093</t>
  </si>
  <si>
    <t xml:space="preserve">S1067</t>
  </si>
  <si>
    <t xml:space="preserve">2024-04-08</t>
  </si>
  <si>
    <t xml:space="preserve">S1079</t>
  </si>
  <si>
    <t xml:space="preserve">2024-04-07</t>
  </si>
  <si>
    <t xml:space="preserve">S1092</t>
  </si>
  <si>
    <t xml:space="preserve">2024-05-09</t>
  </si>
  <si>
    <t xml:space="preserve">S1167</t>
  </si>
  <si>
    <t xml:space="preserve">2024-09-25</t>
  </si>
  <si>
    <t xml:space="preserve">S1137</t>
  </si>
  <si>
    <t xml:space="preserve">2024-07-19</t>
  </si>
  <si>
    <t xml:space="preserve">S1120</t>
  </si>
  <si>
    <t xml:space="preserve">2024-06-12</t>
  </si>
  <si>
    <t xml:space="preserve">S1245</t>
  </si>
  <si>
    <t xml:space="preserve">S1073</t>
  </si>
  <si>
    <t xml:space="preserve">S1083</t>
  </si>
  <si>
    <t xml:space="preserve">S1142</t>
  </si>
  <si>
    <t xml:space="preserve">S1231</t>
  </si>
  <si>
    <t xml:space="preserve">S1102</t>
  </si>
  <si>
    <t xml:space="preserve">S1212</t>
  </si>
  <si>
    <t xml:space="preserve">S1197</t>
  </si>
  <si>
    <t xml:space="preserve">S1214</t>
  </si>
  <si>
    <t xml:space="preserve">2024-11-11</t>
  </si>
  <si>
    <t xml:space="preserve">S1188</t>
  </si>
  <si>
    <t xml:space="preserve">C102</t>
  </si>
  <si>
    <t xml:space="preserve">S1031</t>
  </si>
  <si>
    <t xml:space="preserve">S1234</t>
  </si>
  <si>
    <t xml:space="preserve">2024-12-19</t>
  </si>
  <si>
    <t xml:space="preserve">S1055</t>
  </si>
  <si>
    <t xml:space="preserve">S1004</t>
  </si>
  <si>
    <t xml:space="preserve">2024-01-11</t>
  </si>
  <si>
    <t xml:space="preserve">S1078</t>
  </si>
  <si>
    <t xml:space="preserve">2024-04-10</t>
  </si>
  <si>
    <t xml:space="preserve">S1086</t>
  </si>
  <si>
    <t xml:space="preserve">S1054</t>
  </si>
  <si>
    <t xml:space="preserve">2024-03-20</t>
  </si>
  <si>
    <t xml:space="preserve">S1123</t>
  </si>
  <si>
    <t xml:space="preserve">2024-06-13</t>
  </si>
  <si>
    <t xml:space="preserve">S1056</t>
  </si>
  <si>
    <t xml:space="preserve">2024-03-02</t>
  </si>
  <si>
    <t xml:space="preserve">S1221</t>
  </si>
  <si>
    <t xml:space="preserve">S1246</t>
  </si>
  <si>
    <t xml:space="preserve">2024-12-08</t>
  </si>
  <si>
    <t xml:space="preserve">S1204</t>
  </si>
  <si>
    <t xml:space="preserve">S1151</t>
  </si>
  <si>
    <t xml:space="preserve">2024-08-13</t>
  </si>
  <si>
    <t xml:space="preserve">C140</t>
  </si>
  <si>
    <t xml:space="preserve">S1203</t>
  </si>
  <si>
    <t xml:space="preserve">S1019</t>
  </si>
  <si>
    <t xml:space="preserve">S1011</t>
  </si>
  <si>
    <t xml:space="preserve">2024-01-21</t>
  </si>
  <si>
    <t xml:space="preserve">S1198</t>
  </si>
  <si>
    <t xml:space="preserve">S1155</t>
  </si>
  <si>
    <t xml:space="preserve">S1173</t>
  </si>
  <si>
    <t xml:space="preserve">C130</t>
  </si>
  <si>
    <t xml:space="preserve">S1236</t>
  </si>
  <si>
    <t xml:space="preserve">S1069</t>
  </si>
  <si>
    <t xml:space="preserve">2024-04-13</t>
  </si>
  <si>
    <t xml:space="preserve">S1014</t>
  </si>
  <si>
    <t xml:space="preserve">2024-01-13</t>
  </si>
  <si>
    <t xml:space="preserve">S1049</t>
  </si>
  <si>
    <t xml:space="preserve">2024-03-24</t>
  </si>
  <si>
    <t xml:space="preserve">S1186</t>
  </si>
  <si>
    <t xml:space="preserve">2024-10-11</t>
  </si>
  <si>
    <t xml:space="preserve">S1233</t>
  </si>
  <si>
    <t xml:space="preserve">2024-12-11</t>
  </si>
  <si>
    <t xml:space="preserve">S1024</t>
  </si>
  <si>
    <t xml:space="preserve">S1095</t>
  </si>
  <si>
    <t xml:space="preserve">2024-05-23</t>
  </si>
  <si>
    <t xml:space="preserve">S1116</t>
  </si>
  <si>
    <t xml:space="preserve">S1021</t>
  </si>
  <si>
    <t xml:space="preserve">2024-02-11</t>
  </si>
  <si>
    <t xml:space="preserve">S1166</t>
  </si>
  <si>
    <t xml:space="preserve">S1085</t>
  </si>
  <si>
    <t xml:space="preserve">2024-05-08</t>
  </si>
  <si>
    <t xml:space="preserve">S1053</t>
  </si>
  <si>
    <t xml:space="preserve">2024-03-11</t>
  </si>
  <si>
    <t xml:space="preserve">S1066</t>
  </si>
  <si>
    <t xml:space="preserve">2024-04-12</t>
  </si>
  <si>
    <t xml:space="preserve">S1063</t>
  </si>
  <si>
    <t xml:space="preserve">2024-04-27</t>
  </si>
  <si>
    <t xml:space="preserve">S1100</t>
  </si>
  <si>
    <t xml:space="preserve">S1035</t>
  </si>
  <si>
    <t xml:space="preserve">2024-02-06</t>
  </si>
  <si>
    <t xml:space="preserve">S1136</t>
  </si>
  <si>
    <t xml:space="preserve">2024-07-03</t>
  </si>
  <si>
    <t xml:space="preserve">S1240</t>
  </si>
  <si>
    <t xml:space="preserve">2024-12-17</t>
  </si>
  <si>
    <t xml:space="preserve">S1106</t>
  </si>
  <si>
    <t xml:space="preserve">2024-05-14</t>
  </si>
  <si>
    <t xml:space="preserve">S1144</t>
  </si>
  <si>
    <t xml:space="preserve">2024-07-22</t>
  </si>
  <si>
    <t xml:space="preserve">S1015</t>
  </si>
  <si>
    <t xml:space="preserve">S1119</t>
  </si>
  <si>
    <t xml:space="preserve">2024-06-05</t>
  </si>
  <si>
    <t xml:space="preserve">S1207</t>
  </si>
  <si>
    <t xml:space="preserve">2024-11-24</t>
  </si>
  <si>
    <t xml:space="preserve">S1037</t>
  </si>
  <si>
    <t xml:space="preserve">2024-02-20</t>
  </si>
  <si>
    <t xml:space="preserve">S1182</t>
  </si>
  <si>
    <t xml:space="preserve">2024-09-07</t>
  </si>
  <si>
    <t xml:space="preserve">S1220</t>
  </si>
  <si>
    <t xml:space="preserve">2024-11-18</t>
  </si>
  <si>
    <t xml:space="preserve">S1237</t>
  </si>
  <si>
    <t xml:space="preserve">2024-12-23</t>
  </si>
  <si>
    <t xml:space="preserve">S1058</t>
  </si>
  <si>
    <t xml:space="preserve">S1218</t>
  </si>
  <si>
    <t xml:space="preserve">S1062</t>
  </si>
  <si>
    <t xml:space="preserve">2024-04-16</t>
  </si>
  <si>
    <t xml:space="preserve">S1122</t>
  </si>
  <si>
    <t xml:space="preserve">S1138</t>
  </si>
  <si>
    <t xml:space="preserve">S1194</t>
  </si>
  <si>
    <t xml:space="preserve">2024-10-10</t>
  </si>
  <si>
    <t xml:space="preserve">S1048</t>
  </si>
  <si>
    <t xml:space="preserve">S1097</t>
  </si>
  <si>
    <t xml:space="preserve">2024-05-12</t>
  </si>
  <si>
    <t xml:space="preserve">S1077</t>
  </si>
  <si>
    <t xml:space="preserve">S1039</t>
  </si>
  <si>
    <t xml:space="preserve">S1105</t>
  </si>
  <si>
    <t xml:space="preserve">S1107</t>
  </si>
  <si>
    <t xml:space="preserve">2024-05-28</t>
  </si>
  <si>
    <t xml:space="preserve">S1179</t>
  </si>
  <si>
    <t xml:space="preserve">S1082</t>
  </si>
  <si>
    <t xml:space="preserve">S1135</t>
  </si>
  <si>
    <t xml:space="preserve">S1202</t>
  </si>
  <si>
    <t xml:space="preserve">S1098</t>
  </si>
  <si>
    <t xml:space="preserve">S1172</t>
  </si>
  <si>
    <t xml:space="preserve">S1165</t>
  </si>
  <si>
    <t xml:space="preserve">2024-09-22</t>
  </si>
  <si>
    <t xml:space="preserve">S1242</t>
  </si>
  <si>
    <t xml:space="preserve">2024-12-14</t>
  </si>
  <si>
    <t xml:space="preserve">S1089</t>
  </si>
  <si>
    <t xml:space="preserve">S1249</t>
  </si>
  <si>
    <t xml:space="preserve">S1127</t>
  </si>
  <si>
    <t xml:space="preserve">2024-07-27</t>
  </si>
  <si>
    <t xml:space="preserve">S1143</t>
  </si>
  <si>
    <t xml:space="preserve">Reorder_Level</t>
  </si>
  <si>
    <t xml:space="preserve">Supplier</t>
  </si>
  <si>
    <t xml:space="preserve">Stock_Available</t>
  </si>
  <si>
    <t xml:space="preserve">SunPharma</t>
  </si>
  <si>
    <t xml:space="preserve">Cipla</t>
  </si>
  <si>
    <t xml:space="preserve">DrReddys</t>
  </si>
  <si>
    <t xml:space="preserve">Aurobindo</t>
  </si>
  <si>
    <t xml:space="preserve">Lupin</t>
  </si>
  <si>
    <t xml:space="preserve">ZydusCad</t>
  </si>
  <si>
    <t xml:space="preserve">HealthVit</t>
  </si>
  <si>
    <t xml:space="preserve">NaturePlus</t>
  </si>
  <si>
    <t xml:space="preserve">Galderma</t>
  </si>
  <si>
    <t xml:space="preserve">GSK</t>
  </si>
  <si>
    <t xml:space="preserve">Q1_Target</t>
  </si>
  <si>
    <t xml:space="preserve">Q2_Target</t>
  </si>
  <si>
    <t xml:space="preserve">Q3_Target</t>
  </si>
  <si>
    <t xml:space="preserve">Q4_Target</t>
  </si>
  <si>
    <t xml:space="preserve">Annual_Target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</si>
</sst>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6" min="5" style="0" width="8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10" min="9" style="0" width="10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n">
        <v>131</v>
      </c>
      <c r="J2" s="2" t="n">
        <v>32</v>
      </c>
      <c r="K2" s="2" t="n">
        <v>0</v>
      </c>
      <c r="L2" s="2" t="n">
        <v>4192</v>
      </c>
      <c r="M2" s="2" t="n">
        <v>4081.63</v>
      </c>
      <c r="N2" s="2" t="s">
        <v>25</v>
      </c>
      <c r="O2" s="2" t="s">
        <v>26</v>
      </c>
      <c r="P2" s="2" t="s">
        <v>27</v>
      </c>
      <c r="Q2" s="3" t="n">
        <f aca="false">L2-M2</f>
        <v>110.37</v>
      </c>
    </row>
    <row r="3" customFormat="false" ht="15" hidden="false" customHeight="false" outlineLevel="0" collapsed="false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n">
        <v>163</v>
      </c>
      <c r="J3" s="3" t="n">
        <v>45</v>
      </c>
      <c r="K3" s="3" t="n">
        <v>0</v>
      </c>
      <c r="L3" s="3" t="n">
        <v>7335</v>
      </c>
      <c r="M3" s="3" t="n">
        <v>7318.28</v>
      </c>
      <c r="N3" s="3" t="s">
        <v>36</v>
      </c>
      <c r="O3" s="3" t="s">
        <v>37</v>
      </c>
      <c r="P3" s="3" t="s">
        <v>26</v>
      </c>
      <c r="Q3" s="3" t="n">
        <f aca="false">L3-M3</f>
        <v>16.7200000000003</v>
      </c>
    </row>
    <row r="4" customFormat="false" ht="15" hidden="false" customHeight="false" outlineLevel="0" collapsed="false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35</v>
      </c>
      <c r="I4" s="2" t="n">
        <v>133</v>
      </c>
      <c r="J4" s="2" t="n">
        <v>85</v>
      </c>
      <c r="K4" s="2" t="n">
        <v>0</v>
      </c>
      <c r="L4" s="2" t="n">
        <v>11305</v>
      </c>
      <c r="M4" s="2" t="n">
        <v>10710.82</v>
      </c>
      <c r="N4" s="2" t="s">
        <v>45</v>
      </c>
      <c r="O4" s="2" t="s">
        <v>46</v>
      </c>
      <c r="P4" s="2" t="s">
        <v>26</v>
      </c>
      <c r="Q4" s="3" t="n">
        <f aca="false">L4-M4</f>
        <v>594.18</v>
      </c>
    </row>
    <row r="5" customFormat="false" ht="15" hidden="false" customHeight="false" outlineLevel="0" collapsed="false">
      <c r="A5" s="3" t="s">
        <v>47</v>
      </c>
      <c r="B5" s="3" t="s">
        <v>48</v>
      </c>
      <c r="C5" s="3" t="s">
        <v>40</v>
      </c>
      <c r="D5" s="3" t="s">
        <v>41</v>
      </c>
      <c r="E5" s="3" t="s">
        <v>42</v>
      </c>
      <c r="F5" s="3" t="s">
        <v>49</v>
      </c>
      <c r="G5" s="3" t="s">
        <v>50</v>
      </c>
      <c r="H5" s="3" t="s">
        <v>24</v>
      </c>
      <c r="I5" s="3" t="n">
        <v>142</v>
      </c>
      <c r="J5" s="3" t="n">
        <v>28</v>
      </c>
      <c r="K5" s="3" t="n">
        <v>0</v>
      </c>
      <c r="L5" s="3" t="n">
        <v>3976</v>
      </c>
      <c r="M5" s="3" t="n">
        <v>3646.48</v>
      </c>
      <c r="N5" s="3" t="s">
        <v>51</v>
      </c>
      <c r="O5" s="3" t="s">
        <v>26</v>
      </c>
      <c r="P5" s="3" t="s">
        <v>52</v>
      </c>
      <c r="Q5" s="3" t="n">
        <f aca="false">L5-M5</f>
        <v>329.52</v>
      </c>
    </row>
    <row r="6" customFormat="false" ht="15" hidden="false" customHeight="false" outlineLevel="0" collapsed="false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n">
        <v>14</v>
      </c>
      <c r="J6" s="2" t="n">
        <v>18</v>
      </c>
      <c r="K6" s="2" t="n">
        <v>5</v>
      </c>
      <c r="L6" s="2" t="n">
        <v>239.4</v>
      </c>
      <c r="M6" s="2" t="n">
        <v>273.23</v>
      </c>
      <c r="N6" s="2" t="s">
        <v>61</v>
      </c>
      <c r="O6" s="2" t="s">
        <v>26</v>
      </c>
      <c r="P6" s="2" t="s">
        <v>37</v>
      </c>
      <c r="Q6" s="3" t="n">
        <f aca="false">L6-M6</f>
        <v>-33.83</v>
      </c>
    </row>
    <row r="7" customFormat="false" ht="15" hidden="false" customHeight="false" outlineLevel="0" collapsed="false">
      <c r="A7" s="3" t="s">
        <v>62</v>
      </c>
      <c r="B7" s="3" t="s">
        <v>63</v>
      </c>
      <c r="C7" s="3" t="s">
        <v>64</v>
      </c>
      <c r="D7" s="3" t="s">
        <v>65</v>
      </c>
      <c r="E7" s="3" t="s">
        <v>32</v>
      </c>
      <c r="F7" s="3" t="s">
        <v>66</v>
      </c>
      <c r="G7" s="3" t="s">
        <v>67</v>
      </c>
      <c r="H7" s="3" t="s">
        <v>68</v>
      </c>
      <c r="I7" s="3" t="n">
        <v>56</v>
      </c>
      <c r="J7" s="3" t="n">
        <v>35</v>
      </c>
      <c r="K7" s="3" t="n">
        <v>5</v>
      </c>
      <c r="L7" s="3" t="n">
        <v>1862</v>
      </c>
      <c r="M7" s="3" t="n">
        <v>1847.15</v>
      </c>
      <c r="N7" s="3" t="s">
        <v>69</v>
      </c>
      <c r="O7" s="3" t="s">
        <v>37</v>
      </c>
      <c r="P7" s="3" t="s">
        <v>26</v>
      </c>
      <c r="Q7" s="3" t="n">
        <f aca="false">L7-M7</f>
        <v>14.8499999999999</v>
      </c>
    </row>
    <row r="8" customFormat="false" ht="15" hidden="false" customHeight="false" outlineLevel="0" collapsed="false">
      <c r="A8" s="2" t="s">
        <v>70</v>
      </c>
      <c r="B8" s="2" t="s">
        <v>71</v>
      </c>
      <c r="C8" s="2" t="s">
        <v>19</v>
      </c>
      <c r="D8" s="2" t="s">
        <v>20</v>
      </c>
      <c r="E8" s="2" t="s">
        <v>21</v>
      </c>
      <c r="F8" s="2" t="s">
        <v>72</v>
      </c>
      <c r="G8" s="2" t="s">
        <v>73</v>
      </c>
      <c r="H8" s="2" t="s">
        <v>74</v>
      </c>
      <c r="I8" s="2" t="n">
        <v>37</v>
      </c>
      <c r="J8" s="2" t="n">
        <v>55</v>
      </c>
      <c r="K8" s="2" t="n">
        <v>5</v>
      </c>
      <c r="L8" s="2" t="n">
        <v>1933.25</v>
      </c>
      <c r="M8" s="2" t="n">
        <v>1886.01</v>
      </c>
      <c r="N8" s="2" t="s">
        <v>69</v>
      </c>
      <c r="O8" s="2" t="s">
        <v>26</v>
      </c>
      <c r="P8" s="2" t="s">
        <v>26</v>
      </c>
      <c r="Q8" s="3" t="n">
        <f aca="false">L8-M8</f>
        <v>47.24</v>
      </c>
    </row>
    <row r="9" customFormat="false" ht="15" hidden="false" customHeight="false" outlineLevel="0" collapsed="false">
      <c r="A9" s="3" t="s">
        <v>75</v>
      </c>
      <c r="B9" s="3" t="s">
        <v>76</v>
      </c>
      <c r="C9" s="3" t="s">
        <v>77</v>
      </c>
      <c r="D9" s="3" t="s">
        <v>78</v>
      </c>
      <c r="E9" s="3" t="s">
        <v>79</v>
      </c>
      <c r="F9" s="3" t="s">
        <v>33</v>
      </c>
      <c r="G9" s="3" t="s">
        <v>34</v>
      </c>
      <c r="H9" s="3" t="s">
        <v>35</v>
      </c>
      <c r="I9" s="3" t="n">
        <v>177</v>
      </c>
      <c r="J9" s="3" t="n">
        <v>45</v>
      </c>
      <c r="K9" s="3" t="n">
        <v>0</v>
      </c>
      <c r="L9" s="3" t="n">
        <v>7965</v>
      </c>
      <c r="M9" s="3" t="n">
        <v>7450.69</v>
      </c>
      <c r="N9" s="3" t="s">
        <v>80</v>
      </c>
      <c r="O9" s="3" t="s">
        <v>26</v>
      </c>
      <c r="P9" s="3" t="s">
        <v>52</v>
      </c>
      <c r="Q9" s="3" t="n">
        <f aca="false">L9-M9</f>
        <v>514.31</v>
      </c>
    </row>
    <row r="10" customFormat="false" ht="15" hidden="false" customHeight="false" outlineLevel="0" collapsed="false">
      <c r="A10" s="2" t="s">
        <v>81</v>
      </c>
      <c r="B10" s="2" t="s">
        <v>82</v>
      </c>
      <c r="C10" s="2" t="s">
        <v>83</v>
      </c>
      <c r="D10" s="2" t="s">
        <v>84</v>
      </c>
      <c r="E10" s="2" t="s">
        <v>21</v>
      </c>
      <c r="F10" s="2" t="s">
        <v>72</v>
      </c>
      <c r="G10" s="2" t="s">
        <v>73</v>
      </c>
      <c r="H10" s="2" t="s">
        <v>74</v>
      </c>
      <c r="I10" s="2" t="n">
        <v>159</v>
      </c>
      <c r="J10" s="2" t="n">
        <v>55</v>
      </c>
      <c r="K10" s="2" t="n">
        <v>15</v>
      </c>
      <c r="L10" s="2" t="n">
        <v>7433.25</v>
      </c>
      <c r="M10" s="2" t="n">
        <v>8117.86</v>
      </c>
      <c r="N10" s="2" t="s">
        <v>85</v>
      </c>
      <c r="O10" s="2" t="s">
        <v>26</v>
      </c>
      <c r="P10" s="2" t="s">
        <v>26</v>
      </c>
      <c r="Q10" s="3" t="n">
        <f aca="false">L10-M10</f>
        <v>-684.61</v>
      </c>
    </row>
    <row r="11" customFormat="false" ht="15" hidden="false" customHeight="false" outlineLevel="0" collapsed="false">
      <c r="A11" s="3" t="s">
        <v>86</v>
      </c>
      <c r="B11" s="3" t="s">
        <v>87</v>
      </c>
      <c r="C11" s="3" t="s">
        <v>77</v>
      </c>
      <c r="D11" s="3" t="s">
        <v>78</v>
      </c>
      <c r="E11" s="3" t="s">
        <v>79</v>
      </c>
      <c r="F11" s="3" t="s">
        <v>88</v>
      </c>
      <c r="G11" s="3" t="s">
        <v>89</v>
      </c>
      <c r="H11" s="3" t="s">
        <v>74</v>
      </c>
      <c r="I11" s="3" t="n">
        <v>22</v>
      </c>
      <c r="J11" s="3" t="n">
        <v>38</v>
      </c>
      <c r="K11" s="3" t="n">
        <v>15</v>
      </c>
      <c r="L11" s="3" t="n">
        <v>710.6</v>
      </c>
      <c r="M11" s="3" t="n">
        <v>807.9</v>
      </c>
      <c r="N11" s="3" t="s">
        <v>36</v>
      </c>
      <c r="O11" s="3" t="s">
        <v>26</v>
      </c>
      <c r="P11" s="3" t="s">
        <v>26</v>
      </c>
      <c r="Q11" s="3" t="n">
        <f aca="false">L11-M11</f>
        <v>-97.3</v>
      </c>
    </row>
    <row r="12" customFormat="false" ht="15" hidden="false" customHeight="false" outlineLevel="0" collapsed="false">
      <c r="A12" s="2" t="s">
        <v>90</v>
      </c>
      <c r="B12" s="2" t="s">
        <v>91</v>
      </c>
      <c r="C12" s="2" t="s">
        <v>77</v>
      </c>
      <c r="D12" s="2" t="s">
        <v>78</v>
      </c>
      <c r="E12" s="2" t="s">
        <v>79</v>
      </c>
      <c r="F12" s="2" t="s">
        <v>66</v>
      </c>
      <c r="G12" s="2" t="s">
        <v>67</v>
      </c>
      <c r="H12" s="2" t="s">
        <v>68</v>
      </c>
      <c r="I12" s="2" t="n">
        <v>183</v>
      </c>
      <c r="J12" s="2" t="n">
        <v>35</v>
      </c>
      <c r="K12" s="2" t="n">
        <v>15</v>
      </c>
      <c r="L12" s="2" t="n">
        <v>5444.25</v>
      </c>
      <c r="M12" s="2" t="n">
        <v>6920.99</v>
      </c>
      <c r="N12" s="2" t="s">
        <v>92</v>
      </c>
      <c r="O12" s="2" t="s">
        <v>37</v>
      </c>
      <c r="P12" s="2" t="s">
        <v>37</v>
      </c>
      <c r="Q12" s="3" t="n">
        <f aca="false">L12-M12</f>
        <v>-1476.74</v>
      </c>
    </row>
    <row r="13" customFormat="false" ht="15" hidden="false" customHeight="false" outlineLevel="0" collapsed="false">
      <c r="A13" s="3" t="s">
        <v>93</v>
      </c>
      <c r="B13" s="3" t="s">
        <v>94</v>
      </c>
      <c r="C13" s="3" t="s">
        <v>55</v>
      </c>
      <c r="D13" s="3" t="s">
        <v>56</v>
      </c>
      <c r="E13" s="3" t="s">
        <v>57</v>
      </c>
      <c r="F13" s="3" t="s">
        <v>66</v>
      </c>
      <c r="G13" s="3" t="s">
        <v>67</v>
      </c>
      <c r="H13" s="3" t="s">
        <v>68</v>
      </c>
      <c r="I13" s="3" t="n">
        <v>148</v>
      </c>
      <c r="J13" s="3" t="n">
        <v>35</v>
      </c>
      <c r="K13" s="3" t="n">
        <v>5</v>
      </c>
      <c r="L13" s="3" t="n">
        <v>4921</v>
      </c>
      <c r="M13" s="3" t="n">
        <v>5092.74</v>
      </c>
      <c r="N13" s="3" t="s">
        <v>95</v>
      </c>
      <c r="O13" s="3" t="s">
        <v>26</v>
      </c>
      <c r="P13" s="3" t="s">
        <v>52</v>
      </c>
      <c r="Q13" s="3" t="n">
        <f aca="false">L13-M13</f>
        <v>-171.74</v>
      </c>
    </row>
    <row r="14" customFormat="false" ht="15" hidden="false" customHeight="false" outlineLevel="0" collapsed="false">
      <c r="A14" s="2" t="s">
        <v>96</v>
      </c>
      <c r="B14" s="2" t="s">
        <v>97</v>
      </c>
      <c r="C14" s="2" t="s">
        <v>30</v>
      </c>
      <c r="D14" s="2" t="s">
        <v>31</v>
      </c>
      <c r="E14" s="2" t="s">
        <v>32</v>
      </c>
      <c r="F14" s="2" t="s">
        <v>98</v>
      </c>
      <c r="G14" s="2" t="s">
        <v>99</v>
      </c>
      <c r="H14" s="2" t="s">
        <v>68</v>
      </c>
      <c r="I14" s="2" t="n">
        <v>61</v>
      </c>
      <c r="J14" s="2" t="n">
        <v>22</v>
      </c>
      <c r="K14" s="2" t="n">
        <v>0</v>
      </c>
      <c r="L14" s="2" t="n">
        <v>1342</v>
      </c>
      <c r="M14" s="2" t="n">
        <v>1418.9</v>
      </c>
      <c r="N14" s="2" t="s">
        <v>100</v>
      </c>
      <c r="O14" s="2" t="s">
        <v>46</v>
      </c>
      <c r="P14" s="2" t="s">
        <v>37</v>
      </c>
      <c r="Q14" s="3" t="n">
        <f aca="false">L14-M14</f>
        <v>-76.9000000000001</v>
      </c>
    </row>
    <row r="15" customFormat="false" ht="15" hidden="false" customHeight="false" outlineLevel="0" collapsed="false">
      <c r="A15" s="3" t="s">
        <v>101</v>
      </c>
      <c r="B15" s="3" t="s">
        <v>102</v>
      </c>
      <c r="C15" s="3" t="s">
        <v>77</v>
      </c>
      <c r="D15" s="3" t="s">
        <v>78</v>
      </c>
      <c r="E15" s="3" t="s">
        <v>79</v>
      </c>
      <c r="F15" s="3" t="s">
        <v>58</v>
      </c>
      <c r="G15" s="3" t="s">
        <v>59</v>
      </c>
      <c r="H15" s="3" t="s">
        <v>60</v>
      </c>
      <c r="I15" s="3" t="n">
        <v>153</v>
      </c>
      <c r="J15" s="3" t="n">
        <v>18</v>
      </c>
      <c r="K15" s="3" t="n">
        <v>5</v>
      </c>
      <c r="L15" s="3" t="n">
        <v>2616.3</v>
      </c>
      <c r="M15" s="3" t="n">
        <v>3014.99</v>
      </c>
      <c r="N15" s="3" t="s">
        <v>103</v>
      </c>
      <c r="O15" s="3" t="s">
        <v>104</v>
      </c>
      <c r="P15" s="3" t="s">
        <v>105</v>
      </c>
      <c r="Q15" s="3" t="n">
        <f aca="false">L15-M15</f>
        <v>-398.69</v>
      </c>
    </row>
    <row r="16" customFormat="false" ht="15" hidden="false" customHeight="false" outlineLevel="0" collapsed="false">
      <c r="A16" s="2" t="s">
        <v>106</v>
      </c>
      <c r="B16" s="2" t="s">
        <v>107</v>
      </c>
      <c r="C16" s="2" t="s">
        <v>19</v>
      </c>
      <c r="D16" s="2" t="s">
        <v>20</v>
      </c>
      <c r="E16" s="2" t="s">
        <v>21</v>
      </c>
      <c r="F16" s="2" t="s">
        <v>108</v>
      </c>
      <c r="G16" s="2" t="s">
        <v>109</v>
      </c>
      <c r="H16" s="2" t="s">
        <v>60</v>
      </c>
      <c r="I16" s="2" t="n">
        <v>145</v>
      </c>
      <c r="J16" s="2" t="n">
        <v>12.5</v>
      </c>
      <c r="K16" s="2" t="n">
        <v>0</v>
      </c>
      <c r="L16" s="2" t="n">
        <v>1812.5</v>
      </c>
      <c r="M16" s="2" t="n">
        <v>1775.54</v>
      </c>
      <c r="N16" s="2" t="s">
        <v>110</v>
      </c>
      <c r="O16" s="2" t="s">
        <v>104</v>
      </c>
      <c r="P16" s="2" t="s">
        <v>26</v>
      </c>
      <c r="Q16" s="3" t="n">
        <f aca="false">L16-M16</f>
        <v>36.96</v>
      </c>
    </row>
    <row r="17" customFormat="false" ht="15" hidden="false" customHeight="false" outlineLevel="0" collapsed="false">
      <c r="A17" s="3" t="s">
        <v>111</v>
      </c>
      <c r="B17" s="3" t="s">
        <v>112</v>
      </c>
      <c r="C17" s="3" t="s">
        <v>30</v>
      </c>
      <c r="D17" s="3" t="s">
        <v>31</v>
      </c>
      <c r="E17" s="3" t="s">
        <v>32</v>
      </c>
      <c r="F17" s="3" t="s">
        <v>108</v>
      </c>
      <c r="G17" s="3" t="s">
        <v>109</v>
      </c>
      <c r="H17" s="3" t="s">
        <v>60</v>
      </c>
      <c r="I17" s="3" t="n">
        <v>25</v>
      </c>
      <c r="J17" s="3" t="n">
        <v>12.5</v>
      </c>
      <c r="K17" s="3" t="n">
        <v>10</v>
      </c>
      <c r="L17" s="3" t="n">
        <v>281.25</v>
      </c>
      <c r="M17" s="3" t="n">
        <v>337.68</v>
      </c>
      <c r="N17" s="3" t="s">
        <v>113</v>
      </c>
      <c r="O17" s="3" t="s">
        <v>46</v>
      </c>
      <c r="P17" s="3" t="s">
        <v>37</v>
      </c>
      <c r="Q17" s="3" t="n">
        <f aca="false">L17-M17</f>
        <v>-56.43</v>
      </c>
    </row>
    <row r="18" customFormat="false" ht="15" hidden="false" customHeight="false" outlineLevel="0" collapsed="false">
      <c r="A18" s="2" t="s">
        <v>114</v>
      </c>
      <c r="B18" s="2" t="s">
        <v>115</v>
      </c>
      <c r="C18" s="2" t="s">
        <v>30</v>
      </c>
      <c r="D18" s="2" t="s">
        <v>31</v>
      </c>
      <c r="E18" s="2" t="s">
        <v>32</v>
      </c>
      <c r="F18" s="2" t="s">
        <v>58</v>
      </c>
      <c r="G18" s="2" t="s">
        <v>59</v>
      </c>
      <c r="H18" s="2" t="s">
        <v>60</v>
      </c>
      <c r="I18" s="2" t="n">
        <v>37</v>
      </c>
      <c r="J18" s="2" t="n">
        <v>18</v>
      </c>
      <c r="K18" s="2" t="n">
        <v>0</v>
      </c>
      <c r="L18" s="2" t="n">
        <v>666</v>
      </c>
      <c r="M18" s="2" t="n">
        <v>657.43</v>
      </c>
      <c r="N18" s="2" t="s">
        <v>116</v>
      </c>
      <c r="O18" s="2" t="s">
        <v>52</v>
      </c>
      <c r="P18" s="2" t="s">
        <v>37</v>
      </c>
      <c r="Q18" s="3" t="n">
        <f aca="false">L18-M18</f>
        <v>8.57000000000005</v>
      </c>
    </row>
    <row r="19" customFormat="false" ht="15" hidden="false" customHeight="false" outlineLevel="0" collapsed="false">
      <c r="A19" s="3" t="s">
        <v>117</v>
      </c>
      <c r="B19" s="3" t="s">
        <v>118</v>
      </c>
      <c r="C19" s="3" t="s">
        <v>55</v>
      </c>
      <c r="D19" s="3" t="s">
        <v>56</v>
      </c>
      <c r="E19" s="3" t="s">
        <v>57</v>
      </c>
      <c r="F19" s="3" t="s">
        <v>22</v>
      </c>
      <c r="G19" s="3" t="s">
        <v>23</v>
      </c>
      <c r="H19" s="3" t="s">
        <v>24</v>
      </c>
      <c r="I19" s="3" t="n">
        <v>71</v>
      </c>
      <c r="J19" s="3" t="n">
        <v>32</v>
      </c>
      <c r="K19" s="3" t="n">
        <v>0</v>
      </c>
      <c r="L19" s="3" t="n">
        <v>2272</v>
      </c>
      <c r="M19" s="3" t="n">
        <v>2309.87</v>
      </c>
      <c r="N19" s="3" t="s">
        <v>119</v>
      </c>
      <c r="O19" s="3" t="s">
        <v>37</v>
      </c>
      <c r="P19" s="3" t="s">
        <v>27</v>
      </c>
      <c r="Q19" s="3" t="n">
        <f aca="false">L19-M19</f>
        <v>-37.8699999999999</v>
      </c>
    </row>
    <row r="20" customFormat="false" ht="15" hidden="false" customHeight="false" outlineLevel="0" collapsed="false">
      <c r="A20" s="2" t="s">
        <v>120</v>
      </c>
      <c r="B20" s="2" t="s">
        <v>121</v>
      </c>
      <c r="C20" s="2" t="s">
        <v>77</v>
      </c>
      <c r="D20" s="2" t="s">
        <v>78</v>
      </c>
      <c r="E20" s="2" t="s">
        <v>79</v>
      </c>
      <c r="F20" s="2" t="s">
        <v>43</v>
      </c>
      <c r="G20" s="2" t="s">
        <v>44</v>
      </c>
      <c r="H20" s="2" t="s">
        <v>35</v>
      </c>
      <c r="I20" s="2" t="n">
        <v>134</v>
      </c>
      <c r="J20" s="2" t="n">
        <v>85</v>
      </c>
      <c r="K20" s="2" t="n">
        <v>5</v>
      </c>
      <c r="L20" s="2" t="n">
        <v>10820.5</v>
      </c>
      <c r="M20" s="2" t="n">
        <v>10737.92</v>
      </c>
      <c r="N20" s="2" t="s">
        <v>116</v>
      </c>
      <c r="O20" s="2" t="s">
        <v>104</v>
      </c>
      <c r="P20" s="2" t="s">
        <v>27</v>
      </c>
      <c r="Q20" s="3" t="n">
        <f aca="false">L20-M20</f>
        <v>82.5799999999999</v>
      </c>
    </row>
    <row r="21" customFormat="false" ht="15" hidden="false" customHeight="false" outlineLevel="0" collapsed="false">
      <c r="A21" s="3" t="s">
        <v>122</v>
      </c>
      <c r="B21" s="3" t="s">
        <v>123</v>
      </c>
      <c r="C21" s="3" t="s">
        <v>83</v>
      </c>
      <c r="D21" s="3" t="s">
        <v>84</v>
      </c>
      <c r="E21" s="3" t="s">
        <v>21</v>
      </c>
      <c r="F21" s="3" t="s">
        <v>33</v>
      </c>
      <c r="G21" s="3" t="s">
        <v>34</v>
      </c>
      <c r="H21" s="3" t="s">
        <v>35</v>
      </c>
      <c r="I21" s="3" t="n">
        <v>30</v>
      </c>
      <c r="J21" s="3" t="n">
        <v>45</v>
      </c>
      <c r="K21" s="3" t="n">
        <v>10</v>
      </c>
      <c r="L21" s="3" t="n">
        <v>1215</v>
      </c>
      <c r="M21" s="3" t="n">
        <v>1450.13</v>
      </c>
      <c r="N21" s="3" t="s">
        <v>92</v>
      </c>
      <c r="O21" s="3" t="s">
        <v>26</v>
      </c>
      <c r="P21" s="3" t="s">
        <v>105</v>
      </c>
      <c r="Q21" s="3" t="n">
        <f aca="false">L21-M21</f>
        <v>-235.13</v>
      </c>
    </row>
    <row r="22" customFormat="false" ht="15" hidden="false" customHeight="false" outlineLevel="0" collapsed="false">
      <c r="A22" s="2" t="s">
        <v>124</v>
      </c>
      <c r="B22" s="2" t="s">
        <v>125</v>
      </c>
      <c r="C22" s="2" t="s">
        <v>64</v>
      </c>
      <c r="D22" s="2" t="s">
        <v>65</v>
      </c>
      <c r="E22" s="2" t="s">
        <v>32</v>
      </c>
      <c r="F22" s="2" t="s">
        <v>88</v>
      </c>
      <c r="G22" s="2" t="s">
        <v>89</v>
      </c>
      <c r="H22" s="2" t="s">
        <v>74</v>
      </c>
      <c r="I22" s="2" t="n">
        <v>80</v>
      </c>
      <c r="J22" s="2" t="n">
        <v>38</v>
      </c>
      <c r="K22" s="2" t="n">
        <v>15</v>
      </c>
      <c r="L22" s="2" t="n">
        <v>2584</v>
      </c>
      <c r="M22" s="2" t="n">
        <v>3331.86</v>
      </c>
      <c r="N22" s="2" t="s">
        <v>119</v>
      </c>
      <c r="O22" s="2" t="s">
        <v>26</v>
      </c>
      <c r="P22" s="2" t="s">
        <v>27</v>
      </c>
      <c r="Q22" s="3" t="n">
        <f aca="false">L22-M22</f>
        <v>-747.86</v>
      </c>
    </row>
    <row r="23" customFormat="false" ht="15" hidden="false" customHeight="false" outlineLevel="0" collapsed="false">
      <c r="A23" s="3" t="s">
        <v>126</v>
      </c>
      <c r="B23" s="3" t="s">
        <v>127</v>
      </c>
      <c r="C23" s="3" t="s">
        <v>64</v>
      </c>
      <c r="D23" s="3" t="s">
        <v>65</v>
      </c>
      <c r="E23" s="3" t="s">
        <v>32</v>
      </c>
      <c r="F23" s="3" t="s">
        <v>22</v>
      </c>
      <c r="G23" s="3" t="s">
        <v>23</v>
      </c>
      <c r="H23" s="3" t="s">
        <v>24</v>
      </c>
      <c r="I23" s="3" t="n">
        <v>53</v>
      </c>
      <c r="J23" s="3" t="n">
        <v>32</v>
      </c>
      <c r="K23" s="3" t="n">
        <v>10</v>
      </c>
      <c r="L23" s="3" t="n">
        <v>1526.4</v>
      </c>
      <c r="M23" s="3" t="n">
        <v>1739.77</v>
      </c>
      <c r="N23" s="3" t="s">
        <v>92</v>
      </c>
      <c r="O23" s="3" t="s">
        <v>104</v>
      </c>
      <c r="P23" s="3" t="s">
        <v>52</v>
      </c>
      <c r="Q23" s="3" t="n">
        <f aca="false">L23-M23</f>
        <v>-213.37</v>
      </c>
    </row>
    <row r="24" customFormat="false" ht="15" hidden="false" customHeight="false" outlineLevel="0" collapsed="false">
      <c r="A24" s="2" t="s">
        <v>128</v>
      </c>
      <c r="B24" s="2" t="s">
        <v>129</v>
      </c>
      <c r="C24" s="2" t="s">
        <v>83</v>
      </c>
      <c r="D24" s="2" t="s">
        <v>84</v>
      </c>
      <c r="E24" s="2" t="s">
        <v>21</v>
      </c>
      <c r="F24" s="2" t="s">
        <v>72</v>
      </c>
      <c r="G24" s="2" t="s">
        <v>73</v>
      </c>
      <c r="H24" s="2" t="s">
        <v>74</v>
      </c>
      <c r="I24" s="2" t="n">
        <v>91</v>
      </c>
      <c r="J24" s="2" t="n">
        <v>55</v>
      </c>
      <c r="K24" s="2" t="n">
        <v>0</v>
      </c>
      <c r="L24" s="2" t="n">
        <v>5005</v>
      </c>
      <c r="M24" s="2" t="n">
        <v>4971.44</v>
      </c>
      <c r="N24" s="2" t="s">
        <v>130</v>
      </c>
      <c r="O24" s="2" t="s">
        <v>104</v>
      </c>
      <c r="P24" s="2" t="s">
        <v>52</v>
      </c>
      <c r="Q24" s="3" t="n">
        <f aca="false">L24-M24</f>
        <v>33.5600000000004</v>
      </c>
    </row>
    <row r="25" customFormat="false" ht="15" hidden="false" customHeight="false" outlineLevel="0" collapsed="false">
      <c r="A25" s="3" t="s">
        <v>131</v>
      </c>
      <c r="B25" s="3" t="s">
        <v>132</v>
      </c>
      <c r="C25" s="3" t="s">
        <v>19</v>
      </c>
      <c r="D25" s="3" t="s">
        <v>20</v>
      </c>
      <c r="E25" s="3" t="s">
        <v>21</v>
      </c>
      <c r="F25" s="3" t="s">
        <v>88</v>
      </c>
      <c r="G25" s="3" t="s">
        <v>89</v>
      </c>
      <c r="H25" s="3" t="s">
        <v>74</v>
      </c>
      <c r="I25" s="3" t="n">
        <v>138</v>
      </c>
      <c r="J25" s="3" t="n">
        <v>38</v>
      </c>
      <c r="K25" s="3" t="n">
        <v>10</v>
      </c>
      <c r="L25" s="3" t="n">
        <v>4719.6</v>
      </c>
      <c r="M25" s="3" t="n">
        <v>5158.69</v>
      </c>
      <c r="N25" s="3" t="s">
        <v>133</v>
      </c>
      <c r="O25" s="3" t="s">
        <v>46</v>
      </c>
      <c r="P25" s="3" t="s">
        <v>105</v>
      </c>
      <c r="Q25" s="3" t="n">
        <f aca="false">L25-M25</f>
        <v>-439.089999999999</v>
      </c>
    </row>
    <row r="26" customFormat="false" ht="15" hidden="false" customHeight="false" outlineLevel="0" collapsed="false">
      <c r="A26" s="2" t="s">
        <v>134</v>
      </c>
      <c r="B26" s="2" t="s">
        <v>135</v>
      </c>
      <c r="C26" s="2" t="s">
        <v>19</v>
      </c>
      <c r="D26" s="2" t="s">
        <v>20</v>
      </c>
      <c r="E26" s="2" t="s">
        <v>21</v>
      </c>
      <c r="F26" s="2" t="s">
        <v>22</v>
      </c>
      <c r="G26" s="2" t="s">
        <v>23</v>
      </c>
      <c r="H26" s="2" t="s">
        <v>24</v>
      </c>
      <c r="I26" s="2" t="n">
        <v>170</v>
      </c>
      <c r="J26" s="2" t="n">
        <v>32</v>
      </c>
      <c r="K26" s="2" t="n">
        <v>0</v>
      </c>
      <c r="L26" s="2" t="n">
        <v>5440</v>
      </c>
      <c r="M26" s="2" t="n">
        <v>5060.24</v>
      </c>
      <c r="N26" s="2" t="s">
        <v>136</v>
      </c>
      <c r="O26" s="2" t="s">
        <v>26</v>
      </c>
      <c r="P26" s="2" t="s">
        <v>52</v>
      </c>
      <c r="Q26" s="3" t="n">
        <f aca="false">L26-M26</f>
        <v>379.76</v>
      </c>
    </row>
    <row r="27" customFormat="false" ht="15" hidden="false" customHeight="false" outlineLevel="0" collapsed="false">
      <c r="A27" s="3" t="s">
        <v>137</v>
      </c>
      <c r="B27" s="3" t="s">
        <v>138</v>
      </c>
      <c r="C27" s="3" t="s">
        <v>64</v>
      </c>
      <c r="D27" s="3" t="s">
        <v>65</v>
      </c>
      <c r="E27" s="3" t="s">
        <v>32</v>
      </c>
      <c r="F27" s="3" t="s">
        <v>72</v>
      </c>
      <c r="G27" s="3" t="s">
        <v>73</v>
      </c>
      <c r="H27" s="3" t="s">
        <v>74</v>
      </c>
      <c r="I27" s="3" t="n">
        <v>95</v>
      </c>
      <c r="J27" s="3" t="n">
        <v>55</v>
      </c>
      <c r="K27" s="3" t="n">
        <v>0</v>
      </c>
      <c r="L27" s="3" t="n">
        <v>5225</v>
      </c>
      <c r="M27" s="3" t="n">
        <v>5177.29</v>
      </c>
      <c r="N27" s="3" t="s">
        <v>110</v>
      </c>
      <c r="O27" s="3" t="s">
        <v>46</v>
      </c>
      <c r="P27" s="3" t="s">
        <v>37</v>
      </c>
      <c r="Q27" s="3" t="n">
        <f aca="false">L27-M27</f>
        <v>47.71</v>
      </c>
    </row>
    <row r="28" customFormat="false" ht="15" hidden="false" customHeight="false" outlineLevel="0" collapsed="false">
      <c r="A28" s="2" t="s">
        <v>139</v>
      </c>
      <c r="B28" s="2" t="s">
        <v>140</v>
      </c>
      <c r="C28" s="2" t="s">
        <v>19</v>
      </c>
      <c r="D28" s="2" t="s">
        <v>20</v>
      </c>
      <c r="E28" s="2" t="s">
        <v>21</v>
      </c>
      <c r="F28" s="2" t="s">
        <v>58</v>
      </c>
      <c r="G28" s="2" t="s">
        <v>59</v>
      </c>
      <c r="H28" s="2" t="s">
        <v>60</v>
      </c>
      <c r="I28" s="2" t="n">
        <v>151</v>
      </c>
      <c r="J28" s="2" t="n">
        <v>18</v>
      </c>
      <c r="K28" s="2" t="n">
        <v>10</v>
      </c>
      <c r="L28" s="2" t="n">
        <v>2446.2</v>
      </c>
      <c r="M28" s="2" t="n">
        <v>2646.74</v>
      </c>
      <c r="N28" s="2" t="s">
        <v>141</v>
      </c>
      <c r="O28" s="2" t="s">
        <v>46</v>
      </c>
      <c r="P28" s="2" t="s">
        <v>105</v>
      </c>
      <c r="Q28" s="3" t="n">
        <f aca="false">L28-M28</f>
        <v>-200.54</v>
      </c>
    </row>
    <row r="29" customFormat="false" ht="15" hidden="false" customHeight="false" outlineLevel="0" collapsed="false">
      <c r="A29" s="3" t="s">
        <v>142</v>
      </c>
      <c r="B29" s="3" t="s">
        <v>143</v>
      </c>
      <c r="C29" s="3" t="s">
        <v>77</v>
      </c>
      <c r="D29" s="3" t="s">
        <v>78</v>
      </c>
      <c r="E29" s="3" t="s">
        <v>79</v>
      </c>
      <c r="F29" s="3" t="s">
        <v>88</v>
      </c>
      <c r="G29" s="3" t="s">
        <v>89</v>
      </c>
      <c r="H29" s="3" t="s">
        <v>74</v>
      </c>
      <c r="I29" s="3" t="n">
        <v>196</v>
      </c>
      <c r="J29" s="3" t="n">
        <v>38</v>
      </c>
      <c r="K29" s="3" t="n">
        <v>15</v>
      </c>
      <c r="L29" s="3" t="n">
        <v>6330.8</v>
      </c>
      <c r="M29" s="3" t="n">
        <v>7917.28</v>
      </c>
      <c r="N29" s="3" t="s">
        <v>144</v>
      </c>
      <c r="O29" s="3" t="s">
        <v>104</v>
      </c>
      <c r="P29" s="3" t="s">
        <v>27</v>
      </c>
      <c r="Q29" s="3" t="n">
        <f aca="false">L29-M29</f>
        <v>-1586.48</v>
      </c>
    </row>
    <row r="30" customFormat="false" ht="15" hidden="false" customHeight="false" outlineLevel="0" collapsed="false">
      <c r="A30" s="2" t="s">
        <v>145</v>
      </c>
      <c r="B30" s="2" t="s">
        <v>146</v>
      </c>
      <c r="C30" s="2" t="s">
        <v>83</v>
      </c>
      <c r="D30" s="2" t="s">
        <v>84</v>
      </c>
      <c r="E30" s="2" t="s">
        <v>21</v>
      </c>
      <c r="F30" s="2" t="s">
        <v>58</v>
      </c>
      <c r="G30" s="2" t="s">
        <v>59</v>
      </c>
      <c r="H30" s="2" t="s">
        <v>60</v>
      </c>
      <c r="I30" s="2" t="n">
        <v>19</v>
      </c>
      <c r="J30" s="2" t="n">
        <v>18</v>
      </c>
      <c r="K30" s="2" t="n">
        <v>5</v>
      </c>
      <c r="L30" s="2" t="n">
        <v>324.9</v>
      </c>
      <c r="M30" s="2" t="n">
        <v>323.01</v>
      </c>
      <c r="N30" s="2" t="s">
        <v>147</v>
      </c>
      <c r="O30" s="2" t="s">
        <v>37</v>
      </c>
      <c r="P30" s="2" t="s">
        <v>26</v>
      </c>
      <c r="Q30" s="3" t="n">
        <f aca="false">L30-M30</f>
        <v>1.88999999999999</v>
      </c>
    </row>
    <row r="31" customFormat="false" ht="15" hidden="false" customHeight="false" outlineLevel="0" collapsed="false">
      <c r="A31" s="3" t="s">
        <v>148</v>
      </c>
      <c r="B31" s="3" t="s">
        <v>149</v>
      </c>
      <c r="C31" s="3" t="s">
        <v>77</v>
      </c>
      <c r="D31" s="3" t="s">
        <v>78</v>
      </c>
      <c r="E31" s="3" t="s">
        <v>79</v>
      </c>
      <c r="F31" s="3" t="s">
        <v>72</v>
      </c>
      <c r="G31" s="3" t="s">
        <v>73</v>
      </c>
      <c r="H31" s="3" t="s">
        <v>74</v>
      </c>
      <c r="I31" s="3" t="n">
        <v>24</v>
      </c>
      <c r="J31" s="3" t="n">
        <v>55</v>
      </c>
      <c r="K31" s="3" t="n">
        <v>10</v>
      </c>
      <c r="L31" s="3" t="n">
        <v>1188</v>
      </c>
      <c r="M31" s="3" t="n">
        <v>1382.23</v>
      </c>
      <c r="N31" s="3" t="s">
        <v>119</v>
      </c>
      <c r="O31" s="3" t="s">
        <v>52</v>
      </c>
      <c r="P31" s="3" t="s">
        <v>26</v>
      </c>
      <c r="Q31" s="3" t="n">
        <f aca="false">L31-M31</f>
        <v>-194.23</v>
      </c>
    </row>
    <row r="32" customFormat="false" ht="15" hidden="false" customHeight="false" outlineLevel="0" collapsed="false">
      <c r="A32" s="2" t="s">
        <v>150</v>
      </c>
      <c r="B32" s="2" t="s">
        <v>151</v>
      </c>
      <c r="C32" s="2" t="s">
        <v>77</v>
      </c>
      <c r="D32" s="2" t="s">
        <v>78</v>
      </c>
      <c r="E32" s="2" t="s">
        <v>79</v>
      </c>
      <c r="F32" s="2" t="s">
        <v>22</v>
      </c>
      <c r="G32" s="2" t="s">
        <v>23</v>
      </c>
      <c r="H32" s="2" t="s">
        <v>24</v>
      </c>
      <c r="I32" s="2" t="n">
        <v>43</v>
      </c>
      <c r="J32" s="2" t="n">
        <v>32</v>
      </c>
      <c r="K32" s="2" t="n">
        <v>0</v>
      </c>
      <c r="L32" s="2" t="n">
        <v>1376</v>
      </c>
      <c r="M32" s="2" t="n">
        <v>1480.81</v>
      </c>
      <c r="N32" s="2" t="s">
        <v>144</v>
      </c>
      <c r="O32" s="2" t="s">
        <v>37</v>
      </c>
      <c r="P32" s="2" t="s">
        <v>26</v>
      </c>
      <c r="Q32" s="3" t="n">
        <f aca="false">L32-M32</f>
        <v>-104.81</v>
      </c>
    </row>
    <row r="33" customFormat="false" ht="15" hidden="false" customHeight="false" outlineLevel="0" collapsed="false">
      <c r="A33" s="3" t="s">
        <v>152</v>
      </c>
      <c r="B33" s="3" t="s">
        <v>127</v>
      </c>
      <c r="C33" s="3" t="s">
        <v>64</v>
      </c>
      <c r="D33" s="3" t="s">
        <v>65</v>
      </c>
      <c r="E33" s="3" t="s">
        <v>32</v>
      </c>
      <c r="F33" s="3" t="s">
        <v>43</v>
      </c>
      <c r="G33" s="3" t="s">
        <v>44</v>
      </c>
      <c r="H33" s="3" t="s">
        <v>35</v>
      </c>
      <c r="I33" s="3" t="n">
        <v>55</v>
      </c>
      <c r="J33" s="3" t="n">
        <v>85</v>
      </c>
      <c r="K33" s="3" t="n">
        <v>0</v>
      </c>
      <c r="L33" s="3" t="n">
        <v>4675</v>
      </c>
      <c r="M33" s="3" t="n">
        <v>5139.86</v>
      </c>
      <c r="N33" s="3" t="s">
        <v>116</v>
      </c>
      <c r="O33" s="3" t="s">
        <v>104</v>
      </c>
      <c r="P33" s="3" t="s">
        <v>52</v>
      </c>
      <c r="Q33" s="3" t="n">
        <f aca="false">L33-M33</f>
        <v>-464.86</v>
      </c>
    </row>
    <row r="34" customFormat="false" ht="15" hidden="false" customHeight="false" outlineLevel="0" collapsed="false">
      <c r="A34" s="2" t="s">
        <v>153</v>
      </c>
      <c r="B34" s="2" t="s">
        <v>154</v>
      </c>
      <c r="C34" s="2" t="s">
        <v>77</v>
      </c>
      <c r="D34" s="2" t="s">
        <v>78</v>
      </c>
      <c r="E34" s="2" t="s">
        <v>79</v>
      </c>
      <c r="F34" s="2" t="s">
        <v>58</v>
      </c>
      <c r="G34" s="2" t="s">
        <v>59</v>
      </c>
      <c r="H34" s="2" t="s">
        <v>60</v>
      </c>
      <c r="I34" s="2" t="n">
        <v>40</v>
      </c>
      <c r="J34" s="2" t="n">
        <v>18</v>
      </c>
      <c r="K34" s="2" t="n">
        <v>15</v>
      </c>
      <c r="L34" s="2" t="n">
        <v>612</v>
      </c>
      <c r="M34" s="2" t="n">
        <v>767.83</v>
      </c>
      <c r="N34" s="2" t="s">
        <v>155</v>
      </c>
      <c r="O34" s="2" t="s">
        <v>46</v>
      </c>
      <c r="P34" s="2" t="s">
        <v>26</v>
      </c>
      <c r="Q34" s="3" t="n">
        <f aca="false">L34-M34</f>
        <v>-155.83</v>
      </c>
    </row>
    <row r="35" customFormat="false" ht="15" hidden="false" customHeight="false" outlineLevel="0" collapsed="false">
      <c r="A35" s="3" t="s">
        <v>156</v>
      </c>
      <c r="B35" s="3" t="s">
        <v>157</v>
      </c>
      <c r="C35" s="3" t="s">
        <v>30</v>
      </c>
      <c r="D35" s="3" t="s">
        <v>31</v>
      </c>
      <c r="E35" s="3" t="s">
        <v>32</v>
      </c>
      <c r="F35" s="3" t="s">
        <v>22</v>
      </c>
      <c r="G35" s="3" t="s">
        <v>23</v>
      </c>
      <c r="H35" s="3" t="s">
        <v>24</v>
      </c>
      <c r="I35" s="3" t="n">
        <v>25</v>
      </c>
      <c r="J35" s="3" t="n">
        <v>32</v>
      </c>
      <c r="K35" s="3" t="n">
        <v>5</v>
      </c>
      <c r="L35" s="3" t="n">
        <v>760</v>
      </c>
      <c r="M35" s="3" t="n">
        <v>764.14</v>
      </c>
      <c r="N35" s="3" t="s">
        <v>36</v>
      </c>
      <c r="O35" s="3" t="s">
        <v>52</v>
      </c>
      <c r="P35" s="3" t="s">
        <v>52</v>
      </c>
      <c r="Q35" s="3" t="n">
        <f aca="false">L35-M35</f>
        <v>-4.13999999999999</v>
      </c>
    </row>
    <row r="36" customFormat="false" ht="15" hidden="false" customHeight="false" outlineLevel="0" collapsed="false">
      <c r="A36" s="2" t="s">
        <v>158</v>
      </c>
      <c r="B36" s="2" t="s">
        <v>121</v>
      </c>
      <c r="C36" s="2" t="s">
        <v>64</v>
      </c>
      <c r="D36" s="2" t="s">
        <v>65</v>
      </c>
      <c r="E36" s="2" t="s">
        <v>32</v>
      </c>
      <c r="F36" s="2" t="s">
        <v>72</v>
      </c>
      <c r="G36" s="2" t="s">
        <v>73</v>
      </c>
      <c r="H36" s="2" t="s">
        <v>74</v>
      </c>
      <c r="I36" s="2" t="n">
        <v>141</v>
      </c>
      <c r="J36" s="2" t="n">
        <v>55</v>
      </c>
      <c r="K36" s="2" t="n">
        <v>0</v>
      </c>
      <c r="L36" s="2" t="n">
        <v>7755</v>
      </c>
      <c r="M36" s="2" t="n">
        <v>7411.42</v>
      </c>
      <c r="N36" s="2" t="s">
        <v>155</v>
      </c>
      <c r="O36" s="2" t="s">
        <v>46</v>
      </c>
      <c r="P36" s="2" t="s">
        <v>105</v>
      </c>
      <c r="Q36" s="3" t="n">
        <f aca="false">L36-M36</f>
        <v>343.58</v>
      </c>
    </row>
    <row r="37" customFormat="false" ht="15" hidden="false" customHeight="false" outlineLevel="0" collapsed="false">
      <c r="A37" s="3" t="s">
        <v>159</v>
      </c>
      <c r="B37" s="3" t="s">
        <v>160</v>
      </c>
      <c r="C37" s="3" t="s">
        <v>161</v>
      </c>
      <c r="D37" s="3" t="s">
        <v>162</v>
      </c>
      <c r="E37" s="3" t="s">
        <v>57</v>
      </c>
      <c r="F37" s="3" t="s">
        <v>98</v>
      </c>
      <c r="G37" s="3" t="s">
        <v>99</v>
      </c>
      <c r="H37" s="3" t="s">
        <v>68</v>
      </c>
      <c r="I37" s="3" t="n">
        <v>171</v>
      </c>
      <c r="J37" s="3" t="n">
        <v>22</v>
      </c>
      <c r="K37" s="3" t="n">
        <v>10</v>
      </c>
      <c r="L37" s="3" t="n">
        <v>3385.8</v>
      </c>
      <c r="M37" s="3" t="n">
        <v>3818.47</v>
      </c>
      <c r="N37" s="3" t="s">
        <v>163</v>
      </c>
      <c r="O37" s="3" t="s">
        <v>37</v>
      </c>
      <c r="P37" s="3" t="s">
        <v>105</v>
      </c>
      <c r="Q37" s="3" t="n">
        <f aca="false">L37-M37</f>
        <v>-432.67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30</v>
      </c>
      <c r="D38" s="2" t="s">
        <v>31</v>
      </c>
      <c r="E38" s="2" t="s">
        <v>32</v>
      </c>
      <c r="F38" s="2" t="s">
        <v>72</v>
      </c>
      <c r="G38" s="2" t="s">
        <v>73</v>
      </c>
      <c r="H38" s="2" t="s">
        <v>74</v>
      </c>
      <c r="I38" s="2" t="n">
        <v>181</v>
      </c>
      <c r="J38" s="2" t="n">
        <v>55</v>
      </c>
      <c r="K38" s="2" t="n">
        <v>15</v>
      </c>
      <c r="L38" s="2" t="n">
        <v>8461.75</v>
      </c>
      <c r="M38" s="2" t="n">
        <v>9585.04</v>
      </c>
      <c r="N38" s="2" t="s">
        <v>69</v>
      </c>
      <c r="O38" s="2" t="s">
        <v>104</v>
      </c>
      <c r="P38" s="2" t="s">
        <v>52</v>
      </c>
      <c r="Q38" s="3" t="n">
        <f aca="false">L38-M38</f>
        <v>-1123.29</v>
      </c>
    </row>
    <row r="39" customFormat="false" ht="15" hidden="false" customHeight="false" outlineLevel="0" collapsed="false">
      <c r="A39" s="3" t="s">
        <v>166</v>
      </c>
      <c r="B39" s="3" t="s">
        <v>167</v>
      </c>
      <c r="C39" s="3" t="s">
        <v>55</v>
      </c>
      <c r="D39" s="3" t="s">
        <v>56</v>
      </c>
      <c r="E39" s="3" t="s">
        <v>57</v>
      </c>
      <c r="F39" s="3" t="s">
        <v>49</v>
      </c>
      <c r="G39" s="3" t="s">
        <v>50</v>
      </c>
      <c r="H39" s="3" t="s">
        <v>24</v>
      </c>
      <c r="I39" s="3" t="n">
        <v>75</v>
      </c>
      <c r="J39" s="3" t="n">
        <v>28</v>
      </c>
      <c r="K39" s="3" t="n">
        <v>0</v>
      </c>
      <c r="L39" s="3" t="n">
        <v>2100</v>
      </c>
      <c r="M39" s="3" t="n">
        <v>2187.69</v>
      </c>
      <c r="N39" s="3" t="s">
        <v>168</v>
      </c>
      <c r="O39" s="3" t="s">
        <v>46</v>
      </c>
      <c r="P39" s="3" t="s">
        <v>37</v>
      </c>
      <c r="Q39" s="3" t="n">
        <f aca="false">L39-M39</f>
        <v>-87.6900000000001</v>
      </c>
    </row>
    <row r="40" customFormat="false" ht="15" hidden="false" customHeight="false" outlineLevel="0" collapsed="false">
      <c r="A40" s="2" t="s">
        <v>169</v>
      </c>
      <c r="B40" s="2" t="s">
        <v>170</v>
      </c>
      <c r="C40" s="2" t="s">
        <v>19</v>
      </c>
      <c r="D40" s="2" t="s">
        <v>20</v>
      </c>
      <c r="E40" s="2" t="s">
        <v>21</v>
      </c>
      <c r="F40" s="2" t="s">
        <v>33</v>
      </c>
      <c r="G40" s="2" t="s">
        <v>34</v>
      </c>
      <c r="H40" s="2" t="s">
        <v>35</v>
      </c>
      <c r="I40" s="2" t="n">
        <v>76</v>
      </c>
      <c r="J40" s="2" t="n">
        <v>45</v>
      </c>
      <c r="K40" s="2" t="n">
        <v>5</v>
      </c>
      <c r="L40" s="2" t="n">
        <v>3249</v>
      </c>
      <c r="M40" s="2" t="n">
        <v>3301.91</v>
      </c>
      <c r="N40" s="2" t="s">
        <v>147</v>
      </c>
      <c r="O40" s="2" t="s">
        <v>37</v>
      </c>
      <c r="P40" s="2" t="s">
        <v>26</v>
      </c>
      <c r="Q40" s="3" t="n">
        <f aca="false">L40-M40</f>
        <v>-52.9099999999999</v>
      </c>
    </row>
    <row r="41" customFormat="false" ht="15" hidden="false" customHeight="false" outlineLevel="0" collapsed="false">
      <c r="A41" s="3" t="s">
        <v>171</v>
      </c>
      <c r="B41" s="3" t="s">
        <v>172</v>
      </c>
      <c r="C41" s="3" t="s">
        <v>77</v>
      </c>
      <c r="D41" s="3" t="s">
        <v>78</v>
      </c>
      <c r="E41" s="3" t="s">
        <v>79</v>
      </c>
      <c r="F41" s="3" t="s">
        <v>66</v>
      </c>
      <c r="G41" s="3" t="s">
        <v>67</v>
      </c>
      <c r="H41" s="3" t="s">
        <v>68</v>
      </c>
      <c r="I41" s="3" t="n">
        <v>80</v>
      </c>
      <c r="J41" s="3" t="n">
        <v>35</v>
      </c>
      <c r="K41" s="3" t="n">
        <v>0</v>
      </c>
      <c r="L41" s="3" t="n">
        <v>2800</v>
      </c>
      <c r="M41" s="3" t="n">
        <v>2831.76</v>
      </c>
      <c r="N41" s="3" t="s">
        <v>173</v>
      </c>
      <c r="O41" s="3" t="s">
        <v>26</v>
      </c>
      <c r="P41" s="3" t="s">
        <v>105</v>
      </c>
      <c r="Q41" s="3" t="n">
        <f aca="false">L41-M41</f>
        <v>-31.7600000000002</v>
      </c>
    </row>
    <row r="42" customFormat="false" ht="15" hidden="false" customHeight="false" outlineLevel="0" collapsed="false">
      <c r="A42" s="2" t="s">
        <v>174</v>
      </c>
      <c r="B42" s="2" t="s">
        <v>175</v>
      </c>
      <c r="C42" s="2" t="s">
        <v>19</v>
      </c>
      <c r="D42" s="2" t="s">
        <v>20</v>
      </c>
      <c r="E42" s="2" t="s">
        <v>21</v>
      </c>
      <c r="F42" s="2" t="s">
        <v>66</v>
      </c>
      <c r="G42" s="2" t="s">
        <v>67</v>
      </c>
      <c r="H42" s="2" t="s">
        <v>68</v>
      </c>
      <c r="I42" s="2" t="n">
        <v>57</v>
      </c>
      <c r="J42" s="2" t="n">
        <v>35</v>
      </c>
      <c r="K42" s="2" t="n">
        <v>5</v>
      </c>
      <c r="L42" s="2" t="n">
        <v>1895.25</v>
      </c>
      <c r="M42" s="2" t="n">
        <v>2071.64</v>
      </c>
      <c r="N42" s="2" t="s">
        <v>100</v>
      </c>
      <c r="O42" s="2" t="s">
        <v>37</v>
      </c>
      <c r="P42" s="2" t="s">
        <v>37</v>
      </c>
      <c r="Q42" s="3" t="n">
        <f aca="false">L42-M42</f>
        <v>-176.39</v>
      </c>
    </row>
    <row r="43" customFormat="false" ht="15" hidden="false" customHeight="false" outlineLevel="0" collapsed="false">
      <c r="A43" s="3" t="s">
        <v>176</v>
      </c>
      <c r="B43" s="3" t="s">
        <v>177</v>
      </c>
      <c r="C43" s="3" t="s">
        <v>40</v>
      </c>
      <c r="D43" s="3" t="s">
        <v>41</v>
      </c>
      <c r="E43" s="3" t="s">
        <v>42</v>
      </c>
      <c r="F43" s="3" t="s">
        <v>58</v>
      </c>
      <c r="G43" s="3" t="s">
        <v>59</v>
      </c>
      <c r="H43" s="3" t="s">
        <v>60</v>
      </c>
      <c r="I43" s="3" t="n">
        <v>105</v>
      </c>
      <c r="J43" s="3" t="n">
        <v>18</v>
      </c>
      <c r="K43" s="3" t="n">
        <v>10</v>
      </c>
      <c r="L43" s="3" t="n">
        <v>1701</v>
      </c>
      <c r="M43" s="3" t="n">
        <v>2054.16</v>
      </c>
      <c r="N43" s="3" t="s">
        <v>163</v>
      </c>
      <c r="O43" s="3" t="s">
        <v>52</v>
      </c>
      <c r="P43" s="3" t="s">
        <v>37</v>
      </c>
      <c r="Q43" s="3" t="n">
        <f aca="false">L43-M43</f>
        <v>-353.16</v>
      </c>
    </row>
    <row r="44" customFormat="false" ht="15" hidden="false" customHeight="false" outlineLevel="0" collapsed="false">
      <c r="A44" s="2" t="s">
        <v>178</v>
      </c>
      <c r="B44" s="2" t="s">
        <v>179</v>
      </c>
      <c r="C44" s="2" t="s">
        <v>55</v>
      </c>
      <c r="D44" s="2" t="s">
        <v>56</v>
      </c>
      <c r="E44" s="2" t="s">
        <v>57</v>
      </c>
      <c r="F44" s="2" t="s">
        <v>49</v>
      </c>
      <c r="G44" s="2" t="s">
        <v>50</v>
      </c>
      <c r="H44" s="2" t="s">
        <v>24</v>
      </c>
      <c r="I44" s="2" t="n">
        <v>178</v>
      </c>
      <c r="J44" s="2" t="n">
        <v>28</v>
      </c>
      <c r="K44" s="2" t="n">
        <v>10</v>
      </c>
      <c r="L44" s="2" t="n">
        <v>4485.6</v>
      </c>
      <c r="M44" s="2" t="n">
        <v>4946.1</v>
      </c>
      <c r="N44" s="2" t="s">
        <v>119</v>
      </c>
      <c r="O44" s="2" t="s">
        <v>46</v>
      </c>
      <c r="P44" s="2" t="s">
        <v>105</v>
      </c>
      <c r="Q44" s="3" t="n">
        <f aca="false">L44-M44</f>
        <v>-460.5</v>
      </c>
    </row>
    <row r="45" customFormat="false" ht="15" hidden="false" customHeight="false" outlineLevel="0" collapsed="false">
      <c r="A45" s="3" t="s">
        <v>180</v>
      </c>
      <c r="B45" s="3" t="s">
        <v>181</v>
      </c>
      <c r="C45" s="3" t="s">
        <v>19</v>
      </c>
      <c r="D45" s="3" t="s">
        <v>20</v>
      </c>
      <c r="E45" s="3" t="s">
        <v>21</v>
      </c>
      <c r="F45" s="3" t="s">
        <v>58</v>
      </c>
      <c r="G45" s="3" t="s">
        <v>59</v>
      </c>
      <c r="H45" s="3" t="s">
        <v>60</v>
      </c>
      <c r="I45" s="3" t="n">
        <v>180</v>
      </c>
      <c r="J45" s="3" t="n">
        <v>18</v>
      </c>
      <c r="K45" s="3" t="n">
        <v>0</v>
      </c>
      <c r="L45" s="3" t="n">
        <v>3240</v>
      </c>
      <c r="M45" s="3" t="n">
        <v>3375.78</v>
      </c>
      <c r="N45" s="3" t="s">
        <v>141</v>
      </c>
      <c r="O45" s="3" t="s">
        <v>37</v>
      </c>
      <c r="P45" s="3" t="s">
        <v>37</v>
      </c>
      <c r="Q45" s="3" t="n">
        <f aca="false">L45-M45</f>
        <v>-135.78</v>
      </c>
    </row>
    <row r="46" customFormat="false" ht="15" hidden="false" customHeight="false" outlineLevel="0" collapsed="false">
      <c r="A46" s="2" t="s">
        <v>182</v>
      </c>
      <c r="B46" s="2" t="s">
        <v>183</v>
      </c>
      <c r="C46" s="2" t="s">
        <v>55</v>
      </c>
      <c r="D46" s="2" t="s">
        <v>56</v>
      </c>
      <c r="E46" s="2" t="s">
        <v>57</v>
      </c>
      <c r="F46" s="2" t="s">
        <v>72</v>
      </c>
      <c r="G46" s="2" t="s">
        <v>73</v>
      </c>
      <c r="H46" s="2" t="s">
        <v>74</v>
      </c>
      <c r="I46" s="2" t="n">
        <v>186</v>
      </c>
      <c r="J46" s="2" t="n">
        <v>55</v>
      </c>
      <c r="K46" s="2" t="n">
        <v>0</v>
      </c>
      <c r="L46" s="2" t="n">
        <v>10230</v>
      </c>
      <c r="M46" s="2" t="n">
        <v>9651.53</v>
      </c>
      <c r="N46" s="2" t="s">
        <v>184</v>
      </c>
      <c r="O46" s="2" t="s">
        <v>37</v>
      </c>
      <c r="P46" s="2" t="s">
        <v>105</v>
      </c>
      <c r="Q46" s="3" t="n">
        <f aca="false">L46-M46</f>
        <v>578.469999999999</v>
      </c>
    </row>
    <row r="47" customFormat="false" ht="15" hidden="false" customHeight="false" outlineLevel="0" collapsed="false">
      <c r="A47" s="3" t="s">
        <v>185</v>
      </c>
      <c r="B47" s="3" t="s">
        <v>186</v>
      </c>
      <c r="C47" s="3" t="s">
        <v>64</v>
      </c>
      <c r="D47" s="3" t="s">
        <v>65</v>
      </c>
      <c r="E47" s="3" t="s">
        <v>32</v>
      </c>
      <c r="F47" s="3" t="s">
        <v>22</v>
      </c>
      <c r="G47" s="3" t="s">
        <v>23</v>
      </c>
      <c r="H47" s="3" t="s">
        <v>24</v>
      </c>
      <c r="I47" s="3" t="n">
        <v>132</v>
      </c>
      <c r="J47" s="3" t="n">
        <v>32</v>
      </c>
      <c r="K47" s="3" t="n">
        <v>0</v>
      </c>
      <c r="L47" s="3" t="n">
        <v>4224</v>
      </c>
      <c r="M47" s="3" t="n">
        <v>4598.03</v>
      </c>
      <c r="N47" s="3" t="s">
        <v>187</v>
      </c>
      <c r="O47" s="3"/>
      <c r="P47" s="3" t="s">
        <v>52</v>
      </c>
      <c r="Q47" s="3" t="n">
        <f aca="false">L47-M47</f>
        <v>-374.03</v>
      </c>
    </row>
    <row r="48" customFormat="false" ht="15" hidden="false" customHeight="false" outlineLevel="0" collapsed="false">
      <c r="A48" s="2" t="s">
        <v>188</v>
      </c>
      <c r="B48" s="2" t="s">
        <v>189</v>
      </c>
      <c r="C48" s="2" t="s">
        <v>19</v>
      </c>
      <c r="D48" s="2" t="s">
        <v>20</v>
      </c>
      <c r="E48" s="2" t="s">
        <v>21</v>
      </c>
      <c r="F48" s="2" t="s">
        <v>43</v>
      </c>
      <c r="G48" s="2" t="s">
        <v>44</v>
      </c>
      <c r="H48" s="2" t="s">
        <v>35</v>
      </c>
      <c r="I48" s="2" t="n">
        <v>198</v>
      </c>
      <c r="J48" s="2" t="n">
        <v>85</v>
      </c>
      <c r="K48" s="2" t="n">
        <v>0</v>
      </c>
      <c r="L48" s="2" t="n">
        <v>16830</v>
      </c>
      <c r="M48" s="2" t="n">
        <v>17364.69</v>
      </c>
      <c r="N48" s="2" t="s">
        <v>190</v>
      </c>
      <c r="O48" s="2" t="s">
        <v>46</v>
      </c>
      <c r="P48" s="2" t="s">
        <v>37</v>
      </c>
      <c r="Q48" s="3" t="n">
        <f aca="false">L48-M48</f>
        <v>-534.689999999999</v>
      </c>
    </row>
    <row r="49" customFormat="false" ht="15" hidden="false" customHeight="false" outlineLevel="0" collapsed="false">
      <c r="A49" s="3" t="s">
        <v>191</v>
      </c>
      <c r="B49" s="3" t="s">
        <v>192</v>
      </c>
      <c r="C49" s="3" t="s">
        <v>30</v>
      </c>
      <c r="D49" s="3" t="s">
        <v>31</v>
      </c>
      <c r="E49" s="3" t="s">
        <v>32</v>
      </c>
      <c r="F49" s="3" t="s">
        <v>66</v>
      </c>
      <c r="G49" s="3" t="s">
        <v>67</v>
      </c>
      <c r="H49" s="3" t="s">
        <v>68</v>
      </c>
      <c r="I49" s="3" t="n">
        <v>92</v>
      </c>
      <c r="J49" s="3" t="n">
        <v>35</v>
      </c>
      <c r="K49" s="3" t="n">
        <v>15</v>
      </c>
      <c r="L49" s="3" t="n">
        <v>2737</v>
      </c>
      <c r="M49" s="3" t="n">
        <v>2965.36</v>
      </c>
      <c r="N49" s="3" t="s">
        <v>133</v>
      </c>
      <c r="O49" s="3" t="s">
        <v>26</v>
      </c>
      <c r="P49" s="3" t="s">
        <v>26</v>
      </c>
      <c r="Q49" s="3" t="n">
        <f aca="false">L49-M49</f>
        <v>-228.36</v>
      </c>
    </row>
    <row r="50" customFormat="false" ht="15" hidden="false" customHeight="false" outlineLevel="0" collapsed="false">
      <c r="A50" s="2" t="s">
        <v>193</v>
      </c>
      <c r="B50" s="2" t="s">
        <v>194</v>
      </c>
      <c r="C50" s="2" t="s">
        <v>30</v>
      </c>
      <c r="D50" s="2" t="s">
        <v>31</v>
      </c>
      <c r="E50" s="2" t="s">
        <v>32</v>
      </c>
      <c r="F50" s="2" t="s">
        <v>98</v>
      </c>
      <c r="G50" s="2" t="s">
        <v>99</v>
      </c>
      <c r="H50" s="2" t="s">
        <v>68</v>
      </c>
      <c r="I50" s="2" t="n">
        <v>184</v>
      </c>
      <c r="J50" s="2" t="n">
        <v>22</v>
      </c>
      <c r="K50" s="2" t="n">
        <v>0</v>
      </c>
      <c r="L50" s="2" t="n">
        <v>4048</v>
      </c>
      <c r="M50" s="2" t="n">
        <v>3647.39</v>
      </c>
      <c r="N50" s="2" t="s">
        <v>141</v>
      </c>
      <c r="O50" s="2" t="s">
        <v>26</v>
      </c>
      <c r="P50" s="2" t="s">
        <v>105</v>
      </c>
      <c r="Q50" s="3" t="n">
        <f aca="false">L50-M50</f>
        <v>400.61</v>
      </c>
    </row>
    <row r="51" customFormat="false" ht="15" hidden="false" customHeight="false" outlineLevel="0" collapsed="false">
      <c r="A51" s="3" t="s">
        <v>195</v>
      </c>
      <c r="B51" s="3" t="s">
        <v>196</v>
      </c>
      <c r="C51" s="3" t="s">
        <v>55</v>
      </c>
      <c r="D51" s="3" t="s">
        <v>56</v>
      </c>
      <c r="E51" s="3" t="s">
        <v>57</v>
      </c>
      <c r="F51" s="3" t="s">
        <v>58</v>
      </c>
      <c r="G51" s="3" t="s">
        <v>59</v>
      </c>
      <c r="H51" s="3" t="s">
        <v>60</v>
      </c>
      <c r="I51" s="3" t="n">
        <v>164</v>
      </c>
      <c r="J51" s="3" t="n">
        <v>18</v>
      </c>
      <c r="K51" s="3" t="n">
        <v>0</v>
      </c>
      <c r="L51" s="3" t="n">
        <v>2952</v>
      </c>
      <c r="M51" s="3" t="n">
        <v>2978.85</v>
      </c>
      <c r="N51" s="3" t="s">
        <v>61</v>
      </c>
      <c r="O51" s="3" t="s">
        <v>52</v>
      </c>
      <c r="P51" s="3" t="s">
        <v>27</v>
      </c>
      <c r="Q51" s="3" t="n">
        <f aca="false">L51-M51</f>
        <v>-26.8499999999999</v>
      </c>
    </row>
    <row r="52" customFormat="false" ht="15" hidden="false" customHeight="false" outlineLevel="0" collapsed="false">
      <c r="A52" s="2" t="s">
        <v>197</v>
      </c>
      <c r="B52" s="2" t="s">
        <v>198</v>
      </c>
      <c r="C52" s="2" t="s">
        <v>83</v>
      </c>
      <c r="D52" s="2" t="s">
        <v>84</v>
      </c>
      <c r="E52" s="2" t="s">
        <v>21</v>
      </c>
      <c r="F52" s="2" t="s">
        <v>43</v>
      </c>
      <c r="G52" s="2" t="s">
        <v>44</v>
      </c>
      <c r="H52" s="2" t="s">
        <v>35</v>
      </c>
      <c r="I52" s="2" t="n">
        <v>16</v>
      </c>
      <c r="J52" s="2" t="n">
        <v>85</v>
      </c>
      <c r="K52" s="2" t="n">
        <v>0</v>
      </c>
      <c r="L52" s="2" t="n">
        <v>1360</v>
      </c>
      <c r="M52" s="2" t="n">
        <v>1424.35</v>
      </c>
      <c r="N52" s="2" t="s">
        <v>199</v>
      </c>
      <c r="O52" s="2" t="s">
        <v>104</v>
      </c>
      <c r="P52" s="2" t="s">
        <v>52</v>
      </c>
      <c r="Q52" s="3" t="n">
        <f aca="false">L52-M52</f>
        <v>-64.3499999999999</v>
      </c>
    </row>
    <row r="53" customFormat="false" ht="15" hidden="false" customHeight="false" outlineLevel="0" collapsed="false">
      <c r="A53" s="3" t="s">
        <v>200</v>
      </c>
      <c r="B53" s="3" t="s">
        <v>201</v>
      </c>
      <c r="C53" s="3" t="s">
        <v>30</v>
      </c>
      <c r="D53" s="3" t="s">
        <v>31</v>
      </c>
      <c r="E53" s="3" t="s">
        <v>32</v>
      </c>
      <c r="F53" s="3" t="s">
        <v>49</v>
      </c>
      <c r="G53" s="3" t="s">
        <v>50</v>
      </c>
      <c r="H53" s="3" t="s">
        <v>24</v>
      </c>
      <c r="I53" s="3" t="n">
        <v>190</v>
      </c>
      <c r="J53" s="3" t="n">
        <v>28</v>
      </c>
      <c r="K53" s="3" t="n">
        <v>0</v>
      </c>
      <c r="L53" s="3" t="n">
        <v>5320</v>
      </c>
      <c r="M53" s="3" t="n">
        <v>4836.76</v>
      </c>
      <c r="N53" s="3" t="s">
        <v>202</v>
      </c>
      <c r="O53" s="3" t="s">
        <v>52</v>
      </c>
      <c r="P53" s="3" t="s">
        <v>26</v>
      </c>
      <c r="Q53" s="3" t="n">
        <f aca="false">L53-M53</f>
        <v>483.24</v>
      </c>
    </row>
    <row r="54" customFormat="false" ht="15" hidden="false" customHeight="false" outlineLevel="0" collapsed="false">
      <c r="A54" s="2" t="s">
        <v>203</v>
      </c>
      <c r="B54" s="2" t="s">
        <v>204</v>
      </c>
      <c r="C54" s="2" t="s">
        <v>30</v>
      </c>
      <c r="D54" s="2" t="s">
        <v>31</v>
      </c>
      <c r="E54" s="2" t="s">
        <v>32</v>
      </c>
      <c r="F54" s="2" t="s">
        <v>72</v>
      </c>
      <c r="G54" s="2" t="s">
        <v>73</v>
      </c>
      <c r="H54" s="2" t="s">
        <v>74</v>
      </c>
      <c r="I54" s="2" t="n">
        <v>175</v>
      </c>
      <c r="J54" s="2" t="n">
        <v>55</v>
      </c>
      <c r="K54" s="2" t="n">
        <v>0</v>
      </c>
      <c r="L54" s="2" t="n">
        <v>9625</v>
      </c>
      <c r="M54" s="2" t="n">
        <v>9846.39</v>
      </c>
      <c r="N54" s="2" t="s">
        <v>205</v>
      </c>
      <c r="O54" s="2" t="s">
        <v>26</v>
      </c>
      <c r="P54" s="2" t="s">
        <v>52</v>
      </c>
      <c r="Q54" s="3" t="n">
        <f aca="false">L54-M54</f>
        <v>-221.389999999999</v>
      </c>
    </row>
    <row r="55" customFormat="false" ht="15" hidden="false" customHeight="false" outlineLevel="0" collapsed="false">
      <c r="A55" s="3" t="s">
        <v>206</v>
      </c>
      <c r="B55" s="3" t="s">
        <v>207</v>
      </c>
      <c r="C55" s="3" t="s">
        <v>161</v>
      </c>
      <c r="D55" s="3" t="s">
        <v>162</v>
      </c>
      <c r="E55" s="3" t="s">
        <v>57</v>
      </c>
      <c r="F55" s="3" t="s">
        <v>66</v>
      </c>
      <c r="G55" s="3" t="s">
        <v>67</v>
      </c>
      <c r="H55" s="3" t="s">
        <v>68</v>
      </c>
      <c r="I55" s="3" t="n">
        <v>102</v>
      </c>
      <c r="J55" s="3" t="n">
        <v>35</v>
      </c>
      <c r="K55" s="3" t="n">
        <v>10</v>
      </c>
      <c r="L55" s="3" t="n">
        <v>3213</v>
      </c>
      <c r="M55" s="3" t="n">
        <v>3636.88</v>
      </c>
      <c r="N55" s="3" t="s">
        <v>184</v>
      </c>
      <c r="O55" s="3" t="s">
        <v>104</v>
      </c>
      <c r="P55" s="3" t="s">
        <v>37</v>
      </c>
      <c r="Q55" s="3" t="n">
        <f aca="false">L55-M55</f>
        <v>-423.88</v>
      </c>
    </row>
    <row r="56" customFormat="false" ht="15" hidden="false" customHeight="false" outlineLevel="0" collapsed="false">
      <c r="A56" s="2" t="s">
        <v>208</v>
      </c>
      <c r="B56" s="2" t="s">
        <v>209</v>
      </c>
      <c r="C56" s="2" t="s">
        <v>40</v>
      </c>
      <c r="D56" s="2" t="s">
        <v>41</v>
      </c>
      <c r="E56" s="2" t="s">
        <v>42</v>
      </c>
      <c r="F56" s="2" t="s">
        <v>22</v>
      </c>
      <c r="G56" s="2" t="s">
        <v>23</v>
      </c>
      <c r="H56" s="2" t="s">
        <v>24</v>
      </c>
      <c r="I56" s="2" t="n">
        <v>129</v>
      </c>
      <c r="J56" s="2" t="n">
        <v>32</v>
      </c>
      <c r="K56" s="2" t="n">
        <v>5</v>
      </c>
      <c r="L56" s="2" t="n">
        <v>3921.6</v>
      </c>
      <c r="M56" s="2" t="n">
        <v>4396.93</v>
      </c>
      <c r="N56" s="2" t="s">
        <v>173</v>
      </c>
      <c r="O56" s="2" t="s">
        <v>37</v>
      </c>
      <c r="P56" s="2" t="s">
        <v>26</v>
      </c>
      <c r="Q56" s="3" t="n">
        <f aca="false">L56-M56</f>
        <v>-475.33</v>
      </c>
    </row>
    <row r="57" customFormat="false" ht="15" hidden="false" customHeight="false" outlineLevel="0" collapsed="false">
      <c r="A57" s="3" t="s">
        <v>210</v>
      </c>
      <c r="B57" s="3" t="s">
        <v>211</v>
      </c>
      <c r="C57" s="3" t="s">
        <v>40</v>
      </c>
      <c r="D57" s="3" t="s">
        <v>41</v>
      </c>
      <c r="E57" s="3" t="s">
        <v>42</v>
      </c>
      <c r="F57" s="3" t="s">
        <v>43</v>
      </c>
      <c r="G57" s="3" t="s">
        <v>44</v>
      </c>
      <c r="H57" s="3" t="s">
        <v>35</v>
      </c>
      <c r="I57" s="3" t="n">
        <v>91</v>
      </c>
      <c r="J57" s="3" t="n">
        <v>85</v>
      </c>
      <c r="K57" s="3" t="n">
        <v>5</v>
      </c>
      <c r="L57" s="3" t="n">
        <v>7348.25</v>
      </c>
      <c r="M57" s="3" t="n">
        <v>7501.1</v>
      </c>
      <c r="N57" s="3" t="s">
        <v>212</v>
      </c>
      <c r="O57" s="3" t="s">
        <v>37</v>
      </c>
      <c r="P57" s="3" t="s">
        <v>26</v>
      </c>
      <c r="Q57" s="3" t="n">
        <f aca="false">L57-M57</f>
        <v>-152.85</v>
      </c>
    </row>
    <row r="58" customFormat="false" ht="15" hidden="false" customHeight="false" outlineLevel="0" collapsed="false">
      <c r="A58" s="2" t="s">
        <v>213</v>
      </c>
      <c r="B58" s="2" t="s">
        <v>214</v>
      </c>
      <c r="C58" s="2" t="s">
        <v>55</v>
      </c>
      <c r="D58" s="2" t="s">
        <v>56</v>
      </c>
      <c r="E58" s="2" t="s">
        <v>57</v>
      </c>
      <c r="F58" s="2" t="s">
        <v>22</v>
      </c>
      <c r="G58" s="2" t="s">
        <v>23</v>
      </c>
      <c r="H58" s="2" t="s">
        <v>24</v>
      </c>
      <c r="I58" s="2" t="n">
        <v>17</v>
      </c>
      <c r="J58" s="2" t="n">
        <v>32</v>
      </c>
      <c r="K58" s="2" t="n">
        <v>0</v>
      </c>
      <c r="L58" s="2" t="n">
        <v>544</v>
      </c>
      <c r="M58" s="2" t="n">
        <v>585.02</v>
      </c>
      <c r="N58" s="2" t="s">
        <v>69</v>
      </c>
      <c r="O58" s="2" t="s">
        <v>46</v>
      </c>
      <c r="P58" s="2" t="s">
        <v>105</v>
      </c>
      <c r="Q58" s="3" t="n">
        <f aca="false">L58-M58</f>
        <v>-41.02</v>
      </c>
    </row>
    <row r="59" customFormat="false" ht="15" hidden="false" customHeight="false" outlineLevel="0" collapsed="false">
      <c r="A59" s="3" t="s">
        <v>215</v>
      </c>
      <c r="B59" s="3" t="s">
        <v>216</v>
      </c>
      <c r="C59" s="3" t="s">
        <v>83</v>
      </c>
      <c r="D59" s="3" t="s">
        <v>84</v>
      </c>
      <c r="E59" s="3" t="s">
        <v>21</v>
      </c>
      <c r="F59" s="3" t="s">
        <v>49</v>
      </c>
      <c r="G59" s="3" t="s">
        <v>50</v>
      </c>
      <c r="H59" s="3" t="s">
        <v>24</v>
      </c>
      <c r="I59" s="3" t="n">
        <v>170</v>
      </c>
      <c r="J59" s="3" t="n">
        <v>28</v>
      </c>
      <c r="K59" s="3" t="n">
        <v>0</v>
      </c>
      <c r="L59" s="3" t="n">
        <v>4760</v>
      </c>
      <c r="M59" s="3" t="n">
        <v>5085.27</v>
      </c>
      <c r="N59" s="3" t="s">
        <v>205</v>
      </c>
      <c r="O59" s="3" t="s">
        <v>104</v>
      </c>
      <c r="P59" s="3" t="s">
        <v>37</v>
      </c>
      <c r="Q59" s="3" t="n">
        <f aca="false">L59-M59</f>
        <v>-325.27</v>
      </c>
    </row>
    <row r="60" customFormat="false" ht="15" hidden="false" customHeight="false" outlineLevel="0" collapsed="false">
      <c r="A60" s="2" t="s">
        <v>217</v>
      </c>
      <c r="B60" s="2" t="s">
        <v>218</v>
      </c>
      <c r="C60" s="2" t="s">
        <v>40</v>
      </c>
      <c r="D60" s="2" t="s">
        <v>41</v>
      </c>
      <c r="E60" s="2" t="s">
        <v>42</v>
      </c>
      <c r="F60" s="2" t="s">
        <v>43</v>
      </c>
      <c r="G60" s="2" t="s">
        <v>44</v>
      </c>
      <c r="H60" s="2" t="s">
        <v>35</v>
      </c>
      <c r="I60" s="2" t="n">
        <v>167</v>
      </c>
      <c r="J60" s="2" t="n">
        <v>85</v>
      </c>
      <c r="K60" s="2" t="n">
        <v>10</v>
      </c>
      <c r="L60" s="2" t="n">
        <v>12775.5</v>
      </c>
      <c r="M60" s="2" t="n">
        <v>13040.74</v>
      </c>
      <c r="N60" s="2" t="s">
        <v>110</v>
      </c>
      <c r="O60" s="2" t="s">
        <v>46</v>
      </c>
      <c r="P60" s="2" t="s">
        <v>105</v>
      </c>
      <c r="Q60" s="3" t="n">
        <f aca="false">L60-M60</f>
        <v>-265.24</v>
      </c>
    </row>
    <row r="61" customFormat="false" ht="15" hidden="false" customHeight="false" outlineLevel="0" collapsed="false">
      <c r="A61" s="3" t="s">
        <v>219</v>
      </c>
      <c r="B61" s="3" t="s">
        <v>220</v>
      </c>
      <c r="C61" s="3" t="s">
        <v>77</v>
      </c>
      <c r="D61" s="3" t="s">
        <v>78</v>
      </c>
      <c r="E61" s="3" t="s">
        <v>79</v>
      </c>
      <c r="F61" s="3" t="s">
        <v>72</v>
      </c>
      <c r="G61" s="3" t="s">
        <v>73</v>
      </c>
      <c r="H61" s="3" t="s">
        <v>74</v>
      </c>
      <c r="I61" s="3" t="n">
        <v>45</v>
      </c>
      <c r="J61" s="3" t="n">
        <v>55</v>
      </c>
      <c r="K61" s="3" t="n">
        <v>0</v>
      </c>
      <c r="L61" s="3" t="n">
        <v>2475</v>
      </c>
      <c r="M61" s="3" t="n">
        <v>2370.78</v>
      </c>
      <c r="N61" s="3" t="s">
        <v>36</v>
      </c>
      <c r="O61" s="3" t="s">
        <v>26</v>
      </c>
      <c r="P61" s="3" t="s">
        <v>27</v>
      </c>
      <c r="Q61" s="3" t="n">
        <f aca="false">L61-M61</f>
        <v>104.22</v>
      </c>
    </row>
    <row r="62" customFormat="false" ht="15" hidden="false" customHeight="false" outlineLevel="0" collapsed="false">
      <c r="A62" s="2" t="s">
        <v>221</v>
      </c>
      <c r="B62" s="2" t="s">
        <v>222</v>
      </c>
      <c r="C62" s="2" t="s">
        <v>30</v>
      </c>
      <c r="D62" s="2" t="s">
        <v>31</v>
      </c>
      <c r="E62" s="2" t="s">
        <v>32</v>
      </c>
      <c r="F62" s="2" t="s">
        <v>58</v>
      </c>
      <c r="G62" s="2" t="s">
        <v>59</v>
      </c>
      <c r="H62" s="2" t="s">
        <v>60</v>
      </c>
      <c r="I62" s="2" t="n">
        <v>34</v>
      </c>
      <c r="J62" s="2" t="n">
        <v>18</v>
      </c>
      <c r="K62" s="2" t="n">
        <v>10</v>
      </c>
      <c r="L62" s="2" t="n">
        <v>550.8</v>
      </c>
      <c r="M62" s="2" t="n">
        <v>633.83</v>
      </c>
      <c r="N62" s="2" t="s">
        <v>190</v>
      </c>
      <c r="O62" s="2" t="s">
        <v>46</v>
      </c>
      <c r="P62" s="2" t="s">
        <v>26</v>
      </c>
      <c r="Q62" s="3" t="n">
        <f aca="false">L62-M62</f>
        <v>-83.0300000000001</v>
      </c>
    </row>
    <row r="63" customFormat="false" ht="15" hidden="false" customHeight="false" outlineLevel="0" collapsed="false">
      <c r="A63" s="3" t="s">
        <v>223</v>
      </c>
      <c r="B63" s="3" t="s">
        <v>224</v>
      </c>
      <c r="C63" s="3" t="s">
        <v>83</v>
      </c>
      <c r="D63" s="3" t="s">
        <v>84</v>
      </c>
      <c r="E63" s="3" t="s">
        <v>21</v>
      </c>
      <c r="F63" s="3" t="s">
        <v>33</v>
      </c>
      <c r="G63" s="3" t="s">
        <v>34</v>
      </c>
      <c r="H63" s="3" t="s">
        <v>35</v>
      </c>
      <c r="I63" s="3" t="n">
        <v>85</v>
      </c>
      <c r="J63" s="3" t="n">
        <v>45</v>
      </c>
      <c r="K63" s="3" t="n">
        <v>0</v>
      </c>
      <c r="L63" s="3" t="n">
        <v>3825</v>
      </c>
      <c r="M63" s="3" t="n">
        <v>3830.88</v>
      </c>
      <c r="N63" s="3" t="s">
        <v>225</v>
      </c>
      <c r="O63" s="3" t="s">
        <v>52</v>
      </c>
      <c r="P63" s="3" t="s">
        <v>37</v>
      </c>
      <c r="Q63" s="3" t="n">
        <f aca="false">L63-M63</f>
        <v>-5.88000000000011</v>
      </c>
    </row>
    <row r="64" customFormat="false" ht="15" hidden="false" customHeight="false" outlineLevel="0" collapsed="false">
      <c r="A64" s="2" t="s">
        <v>226</v>
      </c>
      <c r="B64" s="2" t="s">
        <v>227</v>
      </c>
      <c r="C64" s="2" t="s">
        <v>64</v>
      </c>
      <c r="D64" s="2" t="s">
        <v>65</v>
      </c>
      <c r="E64" s="2" t="s">
        <v>32</v>
      </c>
      <c r="F64" s="2" t="s">
        <v>108</v>
      </c>
      <c r="G64" s="2" t="s">
        <v>109</v>
      </c>
      <c r="H64" s="2" t="s">
        <v>60</v>
      </c>
      <c r="I64" s="2" t="n">
        <v>170</v>
      </c>
      <c r="J64" s="2" t="n">
        <v>12.5</v>
      </c>
      <c r="K64" s="2" t="n">
        <v>0</v>
      </c>
      <c r="L64" s="2" t="n">
        <v>2125</v>
      </c>
      <c r="M64" s="2" t="n">
        <v>2249.13</v>
      </c>
      <c r="N64" s="2" t="s">
        <v>228</v>
      </c>
      <c r="O64" s="2" t="s">
        <v>52</v>
      </c>
      <c r="P64" s="2" t="s">
        <v>37</v>
      </c>
      <c r="Q64" s="3" t="n">
        <f aca="false">L64-M64</f>
        <v>-124.13</v>
      </c>
    </row>
    <row r="65" customFormat="false" ht="15" hidden="false" customHeight="false" outlineLevel="0" collapsed="false">
      <c r="A65" s="3" t="s">
        <v>229</v>
      </c>
      <c r="B65" s="3" t="s">
        <v>230</v>
      </c>
      <c r="C65" s="3" t="s">
        <v>161</v>
      </c>
      <c r="D65" s="3" t="s">
        <v>162</v>
      </c>
      <c r="E65" s="3" t="s">
        <v>57</v>
      </c>
      <c r="F65" s="3" t="s">
        <v>88</v>
      </c>
      <c r="G65" s="3" t="s">
        <v>89</v>
      </c>
      <c r="H65" s="3" t="s">
        <v>74</v>
      </c>
      <c r="I65" s="3" t="n">
        <v>193</v>
      </c>
      <c r="J65" s="3" t="n">
        <v>38</v>
      </c>
      <c r="K65" s="3" t="n">
        <v>15</v>
      </c>
      <c r="L65" s="3" t="n">
        <v>6233.9</v>
      </c>
      <c r="M65" s="3" t="n">
        <v>7302.71</v>
      </c>
      <c r="N65" s="3" t="s">
        <v>231</v>
      </c>
      <c r="O65" s="3" t="s">
        <v>46</v>
      </c>
      <c r="P65" s="3" t="s">
        <v>52</v>
      </c>
      <c r="Q65" s="3" t="n">
        <f aca="false">L65-M65</f>
        <v>-1068.81</v>
      </c>
    </row>
    <row r="66" customFormat="false" ht="15" hidden="false" customHeight="false" outlineLevel="0" collapsed="false">
      <c r="A66" s="2" t="s">
        <v>232</v>
      </c>
      <c r="B66" s="2" t="s">
        <v>233</v>
      </c>
      <c r="C66" s="2" t="s">
        <v>83</v>
      </c>
      <c r="D66" s="2" t="s">
        <v>84</v>
      </c>
      <c r="E66" s="2" t="s">
        <v>21</v>
      </c>
      <c r="F66" s="2" t="s">
        <v>22</v>
      </c>
      <c r="G66" s="2" t="s">
        <v>23</v>
      </c>
      <c r="H66" s="2" t="s">
        <v>24</v>
      </c>
      <c r="I66" s="2" t="n">
        <v>79</v>
      </c>
      <c r="J66" s="2" t="n">
        <v>32</v>
      </c>
      <c r="K66" s="2" t="n">
        <v>0</v>
      </c>
      <c r="L66" s="2" t="n">
        <v>2528</v>
      </c>
      <c r="M66" s="2" t="n">
        <v>2684.14</v>
      </c>
      <c r="N66" s="2" t="s">
        <v>199</v>
      </c>
      <c r="O66" s="2" t="s">
        <v>26</v>
      </c>
      <c r="P66" s="2" t="s">
        <v>105</v>
      </c>
      <c r="Q66" s="3" t="n">
        <f aca="false">L66-M66</f>
        <v>-156.14</v>
      </c>
    </row>
    <row r="67" customFormat="false" ht="15" hidden="false" customHeight="false" outlineLevel="0" collapsed="false">
      <c r="A67" s="3" t="s">
        <v>234</v>
      </c>
      <c r="B67" s="3" t="s">
        <v>235</v>
      </c>
      <c r="C67" s="3" t="s">
        <v>40</v>
      </c>
      <c r="D67" s="3" t="s">
        <v>41</v>
      </c>
      <c r="E67" s="3" t="s">
        <v>42</v>
      </c>
      <c r="F67" s="3" t="s">
        <v>58</v>
      </c>
      <c r="G67" s="3" t="s">
        <v>59</v>
      </c>
      <c r="H67" s="3" t="s">
        <v>60</v>
      </c>
      <c r="I67" s="3" t="n">
        <v>77</v>
      </c>
      <c r="J67" s="3" t="n">
        <v>18</v>
      </c>
      <c r="K67" s="3" t="n">
        <v>15</v>
      </c>
      <c r="L67" s="3" t="n">
        <v>1178.1</v>
      </c>
      <c r="M67" s="3" t="n">
        <v>1464.42</v>
      </c>
      <c r="N67" s="3" t="s">
        <v>80</v>
      </c>
      <c r="O67" s="3" t="s">
        <v>46</v>
      </c>
      <c r="P67" s="3" t="s">
        <v>37</v>
      </c>
      <c r="Q67" s="3" t="n">
        <f aca="false">L67-M67</f>
        <v>-286.32</v>
      </c>
    </row>
    <row r="68" customFormat="false" ht="15" hidden="false" customHeight="false" outlineLevel="0" collapsed="false">
      <c r="A68" s="2" t="s">
        <v>236</v>
      </c>
      <c r="B68" s="2" t="s">
        <v>146</v>
      </c>
      <c r="C68" s="2" t="s">
        <v>64</v>
      </c>
      <c r="D68" s="2" t="s">
        <v>65</v>
      </c>
      <c r="E68" s="2" t="s">
        <v>32</v>
      </c>
      <c r="F68" s="2" t="s">
        <v>58</v>
      </c>
      <c r="G68" s="2" t="s">
        <v>59</v>
      </c>
      <c r="H68" s="2" t="s">
        <v>60</v>
      </c>
      <c r="I68" s="2" t="n">
        <v>98</v>
      </c>
      <c r="J68" s="2" t="n">
        <v>18</v>
      </c>
      <c r="K68" s="2"/>
      <c r="L68" s="2" t="n">
        <v>1499.4</v>
      </c>
      <c r="M68" s="2" t="n">
        <v>1865.05</v>
      </c>
      <c r="N68" s="2" t="s">
        <v>228</v>
      </c>
      <c r="O68" s="2" t="s">
        <v>46</v>
      </c>
      <c r="P68" s="2" t="s">
        <v>37</v>
      </c>
      <c r="Q68" s="3" t="n">
        <f aca="false">L68-M68</f>
        <v>-365.65</v>
      </c>
    </row>
    <row r="69" customFormat="false" ht="15" hidden="false" customHeight="false" outlineLevel="0" collapsed="false">
      <c r="A69" s="3" t="s">
        <v>237</v>
      </c>
      <c r="B69" s="3" t="s">
        <v>238</v>
      </c>
      <c r="C69" s="3" t="s">
        <v>40</v>
      </c>
      <c r="D69" s="3" t="s">
        <v>41</v>
      </c>
      <c r="E69" s="3" t="s">
        <v>42</v>
      </c>
      <c r="F69" s="3" t="s">
        <v>66</v>
      </c>
      <c r="G69" s="3" t="s">
        <v>67</v>
      </c>
      <c r="H69" s="3" t="s">
        <v>68</v>
      </c>
      <c r="I69" s="3" t="n">
        <v>28</v>
      </c>
      <c r="J69" s="3" t="n">
        <v>35</v>
      </c>
      <c r="K69" s="3" t="n">
        <v>0</v>
      </c>
      <c r="L69" s="3" t="n">
        <v>980</v>
      </c>
      <c r="M69" s="3" t="n">
        <v>971.82</v>
      </c>
      <c r="N69" s="3" t="s">
        <v>45</v>
      </c>
      <c r="O69" s="3" t="s">
        <v>52</v>
      </c>
      <c r="P69" s="3" t="s">
        <v>27</v>
      </c>
      <c r="Q69" s="3" t="n">
        <f aca="false">L69-M69</f>
        <v>8.17999999999995</v>
      </c>
    </row>
    <row r="70" customFormat="false" ht="15" hidden="false" customHeight="false" outlineLevel="0" collapsed="false">
      <c r="A70" s="2" t="s">
        <v>239</v>
      </c>
      <c r="B70" s="2" t="s">
        <v>240</v>
      </c>
      <c r="C70" s="2" t="s">
        <v>64</v>
      </c>
      <c r="D70" s="2" t="s">
        <v>65</v>
      </c>
      <c r="E70" s="2" t="s">
        <v>32</v>
      </c>
      <c r="F70" s="2" t="s">
        <v>43</v>
      </c>
      <c r="G70" s="2" t="s">
        <v>44</v>
      </c>
      <c r="H70" s="2" t="s">
        <v>35</v>
      </c>
      <c r="I70" s="2" t="n">
        <v>142</v>
      </c>
      <c r="J70" s="2" t="n">
        <v>85</v>
      </c>
      <c r="K70" s="2" t="n">
        <v>5</v>
      </c>
      <c r="L70" s="2" t="n">
        <v>11466.5</v>
      </c>
      <c r="M70" s="2" t="n">
        <v>13068.29</v>
      </c>
      <c r="N70" s="2" t="s">
        <v>36</v>
      </c>
      <c r="O70" s="2" t="s">
        <v>37</v>
      </c>
      <c r="P70" s="2" t="s">
        <v>26</v>
      </c>
      <c r="Q70" s="3" t="n">
        <f aca="false">L70-M70</f>
        <v>-1601.79</v>
      </c>
    </row>
    <row r="71" customFormat="false" ht="15" hidden="false" customHeight="false" outlineLevel="0" collapsed="false">
      <c r="A71" s="3" t="s">
        <v>241</v>
      </c>
      <c r="B71" s="3" t="s">
        <v>242</v>
      </c>
      <c r="C71" s="3" t="s">
        <v>30</v>
      </c>
      <c r="D71" s="3" t="s">
        <v>31</v>
      </c>
      <c r="E71" s="3" t="s">
        <v>32</v>
      </c>
      <c r="F71" s="3" t="s">
        <v>108</v>
      </c>
      <c r="G71" s="3" t="s">
        <v>109</v>
      </c>
      <c r="H71" s="3" t="s">
        <v>60</v>
      </c>
      <c r="I71" s="3" t="n">
        <v>59</v>
      </c>
      <c r="J71" s="3" t="n">
        <v>12.5</v>
      </c>
      <c r="K71" s="3" t="n">
        <v>0</v>
      </c>
      <c r="L71" s="3" t="n">
        <v>737.5</v>
      </c>
      <c r="M71" s="3" t="n">
        <v>742.85</v>
      </c>
      <c r="N71" s="3" t="s">
        <v>243</v>
      </c>
      <c r="O71" s="3" t="s">
        <v>104</v>
      </c>
      <c r="P71" s="3" t="s">
        <v>52</v>
      </c>
      <c r="Q71" s="3" t="n">
        <f aca="false">L71-M71</f>
        <v>-5.35000000000002</v>
      </c>
    </row>
    <row r="72" customFormat="false" ht="15" hidden="false" customHeight="false" outlineLevel="0" collapsed="false">
      <c r="A72" s="2" t="s">
        <v>244</v>
      </c>
      <c r="B72" s="2" t="s">
        <v>245</v>
      </c>
      <c r="C72" s="2" t="s">
        <v>19</v>
      </c>
      <c r="D72" s="2" t="s">
        <v>20</v>
      </c>
      <c r="E72" s="2" t="s">
        <v>21</v>
      </c>
      <c r="F72" s="2" t="s">
        <v>33</v>
      </c>
      <c r="G72" s="2" t="s">
        <v>34</v>
      </c>
      <c r="H72" s="2" t="s">
        <v>35</v>
      </c>
      <c r="I72" s="2" t="n">
        <v>26</v>
      </c>
      <c r="J72" s="2" t="n">
        <v>45</v>
      </c>
      <c r="K72" s="2" t="n">
        <v>15</v>
      </c>
      <c r="L72" s="2" t="n">
        <v>994.5</v>
      </c>
      <c r="M72" s="2" t="n">
        <v>1234.63</v>
      </c>
      <c r="N72" s="2" t="s">
        <v>147</v>
      </c>
      <c r="O72" s="2" t="s">
        <v>37</v>
      </c>
      <c r="P72" s="2" t="s">
        <v>27</v>
      </c>
      <c r="Q72" s="3" t="n">
        <f aca="false">L72-M72</f>
        <v>-240.13</v>
      </c>
    </row>
    <row r="73" customFormat="false" ht="15" hidden="false" customHeight="false" outlineLevel="0" collapsed="false">
      <c r="A73" s="3" t="s">
        <v>246</v>
      </c>
      <c r="B73" s="3" t="s">
        <v>247</v>
      </c>
      <c r="C73" s="3" t="s">
        <v>30</v>
      </c>
      <c r="D73" s="3" t="s">
        <v>31</v>
      </c>
      <c r="E73" s="3" t="s">
        <v>32</v>
      </c>
      <c r="F73" s="3" t="s">
        <v>66</v>
      </c>
      <c r="G73" s="3" t="s">
        <v>67</v>
      </c>
      <c r="H73" s="3" t="s">
        <v>68</v>
      </c>
      <c r="I73" s="3" t="n">
        <v>108</v>
      </c>
      <c r="J73" s="3" t="n">
        <v>35</v>
      </c>
      <c r="K73" s="3" t="n">
        <v>15</v>
      </c>
      <c r="L73" s="3" t="n">
        <v>3213</v>
      </c>
      <c r="M73" s="3" t="n">
        <v>4001.05</v>
      </c>
      <c r="N73" s="3" t="s">
        <v>110</v>
      </c>
      <c r="O73" s="3" t="s">
        <v>26</v>
      </c>
      <c r="P73" s="3" t="s">
        <v>105</v>
      </c>
      <c r="Q73" s="3" t="n">
        <f aca="false">L73-M73</f>
        <v>-788.05</v>
      </c>
    </row>
    <row r="74" customFormat="false" ht="15" hidden="false" customHeight="false" outlineLevel="0" collapsed="false">
      <c r="A74" s="2" t="s">
        <v>248</v>
      </c>
      <c r="B74" s="2" t="s">
        <v>249</v>
      </c>
      <c r="C74" s="2" t="s">
        <v>30</v>
      </c>
      <c r="D74" s="2" t="s">
        <v>31</v>
      </c>
      <c r="E74" s="2" t="s">
        <v>32</v>
      </c>
      <c r="F74" s="2" t="s">
        <v>33</v>
      </c>
      <c r="G74" s="2" t="s">
        <v>34</v>
      </c>
      <c r="H74" s="2" t="s">
        <v>35</v>
      </c>
      <c r="I74" s="2" t="n">
        <v>100</v>
      </c>
      <c r="J74" s="2" t="n">
        <v>45</v>
      </c>
      <c r="K74" s="2" t="n">
        <v>10</v>
      </c>
      <c r="L74" s="2" t="n">
        <v>4050</v>
      </c>
      <c r="M74" s="2" t="n">
        <v>4354.69</v>
      </c>
      <c r="N74" s="2" t="s">
        <v>110</v>
      </c>
      <c r="O74" s="2" t="s">
        <v>26</v>
      </c>
      <c r="P74" s="2" t="s">
        <v>105</v>
      </c>
      <c r="Q74" s="3" t="n">
        <f aca="false">L74-M74</f>
        <v>-304.69</v>
      </c>
    </row>
    <row r="75" customFormat="false" ht="15" hidden="false" customHeight="false" outlineLevel="0" collapsed="false">
      <c r="A75" s="3" t="s">
        <v>200</v>
      </c>
      <c r="B75" s="3" t="s">
        <v>201</v>
      </c>
      <c r="C75" s="3" t="s">
        <v>30</v>
      </c>
      <c r="D75" s="3" t="s">
        <v>31</v>
      </c>
      <c r="E75" s="3" t="s">
        <v>32</v>
      </c>
      <c r="F75" s="3" t="s">
        <v>49</v>
      </c>
      <c r="G75" s="3" t="s">
        <v>50</v>
      </c>
      <c r="H75" s="3" t="s">
        <v>24</v>
      </c>
      <c r="I75" s="3" t="n">
        <v>190</v>
      </c>
      <c r="J75" s="3" t="n">
        <v>28</v>
      </c>
      <c r="K75" s="3" t="n">
        <v>0</v>
      </c>
      <c r="L75" s="3" t="n">
        <v>5320</v>
      </c>
      <c r="M75" s="3" t="n">
        <v>4836.76</v>
      </c>
      <c r="N75" s="3" t="s">
        <v>202</v>
      </c>
      <c r="O75" s="3" t="s">
        <v>52</v>
      </c>
      <c r="P75" s="3" t="s">
        <v>26</v>
      </c>
      <c r="Q75" s="3" t="n">
        <f aca="false">L75-M75</f>
        <v>483.24</v>
      </c>
    </row>
    <row r="76" customFormat="false" ht="15" hidden="false" customHeight="false" outlineLevel="0" collapsed="false">
      <c r="A76" s="2" t="s">
        <v>250</v>
      </c>
      <c r="B76" s="2" t="s">
        <v>251</v>
      </c>
      <c r="C76" s="2" t="s">
        <v>30</v>
      </c>
      <c r="D76" s="2" t="s">
        <v>31</v>
      </c>
      <c r="E76" s="2" t="s">
        <v>32</v>
      </c>
      <c r="F76" s="2" t="s">
        <v>108</v>
      </c>
      <c r="G76" s="2" t="s">
        <v>109</v>
      </c>
      <c r="H76" s="2" t="s">
        <v>60</v>
      </c>
      <c r="I76" s="2" t="n">
        <v>147</v>
      </c>
      <c r="J76" s="2" t="n">
        <v>12.5</v>
      </c>
      <c r="K76" s="2" t="n">
        <v>5</v>
      </c>
      <c r="L76" s="2" t="n">
        <v>1745.62</v>
      </c>
      <c r="M76" s="2" t="n">
        <v>1848.1</v>
      </c>
      <c r="N76" s="2" t="s">
        <v>51</v>
      </c>
      <c r="O76" s="2" t="s">
        <v>52</v>
      </c>
      <c r="P76" s="2" t="s">
        <v>105</v>
      </c>
      <c r="Q76" s="3" t="n">
        <f aca="false">L76-M76</f>
        <v>-102.48</v>
      </c>
    </row>
    <row r="77" customFormat="false" ht="15" hidden="false" customHeight="false" outlineLevel="0" collapsed="false">
      <c r="A77" s="3" t="s">
        <v>252</v>
      </c>
      <c r="B77" s="3" t="s">
        <v>149</v>
      </c>
      <c r="C77" s="3" t="s">
        <v>19</v>
      </c>
      <c r="D77" s="3" t="s">
        <v>20</v>
      </c>
      <c r="E77" s="3" t="s">
        <v>21</v>
      </c>
      <c r="F77" s="3" t="s">
        <v>43</v>
      </c>
      <c r="G77" s="3" t="s">
        <v>44</v>
      </c>
      <c r="H77" s="3" t="s">
        <v>35</v>
      </c>
      <c r="I77" s="3" t="n">
        <v>114</v>
      </c>
      <c r="J77" s="3" t="n">
        <v>85</v>
      </c>
      <c r="K77" s="3" t="n">
        <v>0</v>
      </c>
      <c r="L77" s="3" t="n">
        <v>9690</v>
      </c>
      <c r="M77" s="3" t="n">
        <v>8903.8</v>
      </c>
      <c r="N77" s="3" t="s">
        <v>253</v>
      </c>
      <c r="O77" s="3" t="s">
        <v>37</v>
      </c>
      <c r="P77" s="3" t="s">
        <v>52</v>
      </c>
      <c r="Q77" s="3" t="n">
        <f aca="false">L77-M77</f>
        <v>786.200000000001</v>
      </c>
    </row>
    <row r="78" customFormat="false" ht="15" hidden="false" customHeight="false" outlineLevel="0" collapsed="false">
      <c r="A78" s="2" t="s">
        <v>254</v>
      </c>
      <c r="B78" s="2" t="s">
        <v>255</v>
      </c>
      <c r="C78" s="2" t="s">
        <v>30</v>
      </c>
      <c r="D78" s="2" t="s">
        <v>31</v>
      </c>
      <c r="E78" s="2" t="s">
        <v>32</v>
      </c>
      <c r="F78" s="2" t="s">
        <v>88</v>
      </c>
      <c r="G78" s="2" t="s">
        <v>89</v>
      </c>
      <c r="H78" s="2" t="s">
        <v>74</v>
      </c>
      <c r="I78" s="2" t="n">
        <v>155</v>
      </c>
      <c r="J78" s="2" t="n">
        <v>38</v>
      </c>
      <c r="K78" s="2" t="n">
        <v>0</v>
      </c>
      <c r="L78" s="2" t="n">
        <v>5890</v>
      </c>
      <c r="M78" s="2" t="n">
        <v>6013.8</v>
      </c>
      <c r="N78" s="2" t="s">
        <v>25</v>
      </c>
      <c r="O78" s="2" t="s">
        <v>37</v>
      </c>
      <c r="P78" s="2" t="s">
        <v>52</v>
      </c>
      <c r="Q78" s="3" t="n">
        <f aca="false">L78-M78</f>
        <v>-123.8</v>
      </c>
    </row>
    <row r="79" customFormat="false" ht="15" hidden="false" customHeight="false" outlineLevel="0" collapsed="false">
      <c r="A79" s="3" t="s">
        <v>256</v>
      </c>
      <c r="B79" s="3" t="s">
        <v>257</v>
      </c>
      <c r="C79" s="3" t="s">
        <v>83</v>
      </c>
      <c r="D79" s="3" t="s">
        <v>84</v>
      </c>
      <c r="E79" s="3" t="s">
        <v>21</v>
      </c>
      <c r="F79" s="3" t="s">
        <v>58</v>
      </c>
      <c r="G79" s="3" t="s">
        <v>59</v>
      </c>
      <c r="H79" s="3" t="s">
        <v>60</v>
      </c>
      <c r="I79" s="3" t="n">
        <v>116</v>
      </c>
      <c r="J79" s="3" t="n">
        <v>18</v>
      </c>
      <c r="K79" s="3" t="n">
        <v>0</v>
      </c>
      <c r="L79" s="3" t="n">
        <v>2088</v>
      </c>
      <c r="M79" s="3" t="n">
        <v>2269.34</v>
      </c>
      <c r="N79" s="3" t="s">
        <v>205</v>
      </c>
      <c r="O79" s="3" t="s">
        <v>52</v>
      </c>
      <c r="P79" s="3" t="s">
        <v>26</v>
      </c>
      <c r="Q79" s="3" t="n">
        <f aca="false">L79-M79</f>
        <v>-181.34</v>
      </c>
    </row>
    <row r="80" customFormat="false" ht="15" hidden="false" customHeight="false" outlineLevel="0" collapsed="false">
      <c r="A80" s="2" t="s">
        <v>258</v>
      </c>
      <c r="B80" s="2" t="s">
        <v>259</v>
      </c>
      <c r="C80" s="2" t="s">
        <v>40</v>
      </c>
      <c r="D80" s="2" t="s">
        <v>41</v>
      </c>
      <c r="E80" s="2" t="s">
        <v>42</v>
      </c>
      <c r="F80" s="2" t="s">
        <v>108</v>
      </c>
      <c r="G80" s="2" t="s">
        <v>109</v>
      </c>
      <c r="H80" s="2" t="s">
        <v>60</v>
      </c>
      <c r="I80" s="2" t="n">
        <v>40</v>
      </c>
      <c r="J80" s="2" t="n">
        <v>12.5</v>
      </c>
      <c r="K80" s="2" t="n">
        <v>10</v>
      </c>
      <c r="L80" s="2" t="n">
        <v>450</v>
      </c>
      <c r="M80" s="2" t="n">
        <v>526.44</v>
      </c>
      <c r="N80" s="2" t="s">
        <v>260</v>
      </c>
      <c r="O80" s="2" t="s">
        <v>46</v>
      </c>
      <c r="P80" s="2" t="s">
        <v>37</v>
      </c>
      <c r="Q80" s="3" t="n">
        <f aca="false">L80-M80</f>
        <v>-76.4400000000001</v>
      </c>
    </row>
    <row r="81" customFormat="false" ht="15" hidden="false" customHeight="false" outlineLevel="0" collapsed="false">
      <c r="A81" s="3" t="s">
        <v>261</v>
      </c>
      <c r="B81" s="3" t="s">
        <v>262</v>
      </c>
      <c r="C81" s="3" t="s">
        <v>77</v>
      </c>
      <c r="D81" s="3" t="s">
        <v>78</v>
      </c>
      <c r="E81" s="3" t="s">
        <v>79</v>
      </c>
      <c r="F81" s="3" t="s">
        <v>33</v>
      </c>
      <c r="G81" s="3" t="s">
        <v>34</v>
      </c>
      <c r="H81" s="3" t="s">
        <v>35</v>
      </c>
      <c r="I81" s="3" t="n">
        <v>181</v>
      </c>
      <c r="J81" s="3" t="n">
        <v>45</v>
      </c>
      <c r="K81" s="3" t="n">
        <v>10</v>
      </c>
      <c r="L81" s="3" t="n">
        <v>7330.5</v>
      </c>
      <c r="M81" s="3" t="n">
        <v>7698.12</v>
      </c>
      <c r="N81" s="3" t="s">
        <v>202</v>
      </c>
      <c r="O81" s="3" t="s">
        <v>52</v>
      </c>
      <c r="P81" s="3" t="s">
        <v>27</v>
      </c>
      <c r="Q81" s="3" t="n">
        <f aca="false">L81-M81</f>
        <v>-367.62</v>
      </c>
    </row>
    <row r="82" customFormat="false" ht="15" hidden="false" customHeight="false" outlineLevel="0" collapsed="false">
      <c r="A82" s="2" t="s">
        <v>263</v>
      </c>
      <c r="B82" s="2" t="s">
        <v>264</v>
      </c>
      <c r="C82" s="2" t="s">
        <v>40</v>
      </c>
      <c r="D82" s="2" t="s">
        <v>41</v>
      </c>
      <c r="E82" s="2" t="s">
        <v>42</v>
      </c>
      <c r="F82" s="2" t="s">
        <v>98</v>
      </c>
      <c r="G82" s="2" t="s">
        <v>99</v>
      </c>
      <c r="H82" s="2" t="s">
        <v>68</v>
      </c>
      <c r="I82" s="2" t="n">
        <v>185</v>
      </c>
      <c r="J82" s="2" t="n">
        <v>22</v>
      </c>
      <c r="K82" s="2" t="n">
        <v>0</v>
      </c>
      <c r="L82" s="2" t="n">
        <v>4070</v>
      </c>
      <c r="M82" s="2" t="n">
        <v>4415.06</v>
      </c>
      <c r="N82" s="2" t="s">
        <v>212</v>
      </c>
      <c r="O82" s="2" t="s">
        <v>104</v>
      </c>
      <c r="P82" s="2" t="s">
        <v>37</v>
      </c>
      <c r="Q82" s="3" t="n">
        <f aca="false">L82-M82</f>
        <v>-345.06</v>
      </c>
    </row>
    <row r="83" customFormat="false" ht="15" hidden="false" customHeight="false" outlineLevel="0" collapsed="false">
      <c r="A83" s="3" t="s">
        <v>265</v>
      </c>
      <c r="B83" s="3" t="s">
        <v>266</v>
      </c>
      <c r="C83" s="3" t="s">
        <v>77</v>
      </c>
      <c r="D83" s="3" t="s">
        <v>78</v>
      </c>
      <c r="E83" s="3" t="s">
        <v>79</v>
      </c>
      <c r="F83" s="3" t="s">
        <v>22</v>
      </c>
      <c r="G83" s="3" t="s">
        <v>23</v>
      </c>
      <c r="H83" s="3" t="s">
        <v>24</v>
      </c>
      <c r="I83" s="3" t="n">
        <v>14</v>
      </c>
      <c r="J83" s="3" t="n">
        <v>32</v>
      </c>
      <c r="K83" s="3" t="n">
        <v>0</v>
      </c>
      <c r="L83" s="3" t="n">
        <v>448</v>
      </c>
      <c r="M83" s="3" t="n">
        <v>426.98</v>
      </c>
      <c r="N83" s="3" t="s">
        <v>243</v>
      </c>
      <c r="O83" s="3" t="s">
        <v>46</v>
      </c>
      <c r="P83" s="3" t="s">
        <v>52</v>
      </c>
      <c r="Q83" s="3" t="n">
        <f aca="false">L83-M83</f>
        <v>21.02</v>
      </c>
    </row>
    <row r="84" customFormat="false" ht="15" hidden="false" customHeight="false" outlineLevel="0" collapsed="false">
      <c r="A84" s="2" t="s">
        <v>267</v>
      </c>
      <c r="B84" s="2" t="s">
        <v>268</v>
      </c>
      <c r="C84" s="2" t="s">
        <v>83</v>
      </c>
      <c r="D84" s="2" t="s">
        <v>84</v>
      </c>
      <c r="E84" s="2" t="s">
        <v>21</v>
      </c>
      <c r="F84" s="2" t="s">
        <v>88</v>
      </c>
      <c r="G84" s="2" t="s">
        <v>89</v>
      </c>
      <c r="H84" s="2" t="s">
        <v>74</v>
      </c>
      <c r="I84" s="2" t="n">
        <v>82</v>
      </c>
      <c r="J84" s="2" t="n">
        <v>38</v>
      </c>
      <c r="K84" s="2" t="n">
        <v>5</v>
      </c>
      <c r="L84" s="2" t="n">
        <v>2960.2</v>
      </c>
      <c r="M84" s="2" t="n">
        <v>3059.15</v>
      </c>
      <c r="N84" s="2" t="s">
        <v>199</v>
      </c>
      <c r="O84" s="2" t="s">
        <v>52</v>
      </c>
      <c r="P84" s="2" t="s">
        <v>37</v>
      </c>
      <c r="Q84" s="3" t="n">
        <f aca="false">L84-M84</f>
        <v>-98.9500000000003</v>
      </c>
    </row>
    <row r="85" customFormat="false" ht="15" hidden="false" customHeight="false" outlineLevel="0" collapsed="false">
      <c r="A85" s="3" t="s">
        <v>269</v>
      </c>
      <c r="B85" s="3" t="s">
        <v>270</v>
      </c>
      <c r="C85" s="3" t="s">
        <v>40</v>
      </c>
      <c r="D85" s="3" t="s">
        <v>41</v>
      </c>
      <c r="E85" s="3" t="s">
        <v>42</v>
      </c>
      <c r="F85" s="3" t="s">
        <v>22</v>
      </c>
      <c r="G85" s="3" t="s">
        <v>23</v>
      </c>
      <c r="H85" s="3" t="s">
        <v>24</v>
      </c>
      <c r="I85" s="3" t="n">
        <v>122</v>
      </c>
      <c r="J85" s="3" t="n">
        <v>32</v>
      </c>
      <c r="K85" s="3" t="n">
        <v>0</v>
      </c>
      <c r="L85" s="3" t="n">
        <v>3904</v>
      </c>
      <c r="M85" s="3" t="n">
        <v>3879.56</v>
      </c>
      <c r="N85" s="3" t="s">
        <v>187</v>
      </c>
      <c r="O85" s="3" t="s">
        <v>37</v>
      </c>
      <c r="P85" s="3" t="s">
        <v>52</v>
      </c>
      <c r="Q85" s="3" t="n">
        <f aca="false">L85-M85</f>
        <v>24.4400000000001</v>
      </c>
    </row>
    <row r="86" customFormat="false" ht="15" hidden="false" customHeight="false" outlineLevel="0" collapsed="false">
      <c r="A86" s="2" t="s">
        <v>271</v>
      </c>
      <c r="B86" s="2" t="s">
        <v>272</v>
      </c>
      <c r="C86" s="2" t="s">
        <v>55</v>
      </c>
      <c r="D86" s="2" t="s">
        <v>56</v>
      </c>
      <c r="E86" s="2" t="s">
        <v>57</v>
      </c>
      <c r="F86" s="2" t="s">
        <v>66</v>
      </c>
      <c r="G86" s="2" t="s">
        <v>67</v>
      </c>
      <c r="H86" s="2" t="s">
        <v>68</v>
      </c>
      <c r="I86" s="2" t="n">
        <v>58</v>
      </c>
      <c r="J86" s="2" t="n">
        <v>35</v>
      </c>
      <c r="K86" s="2" t="n">
        <v>15</v>
      </c>
      <c r="L86" s="2" t="n">
        <v>1725.5</v>
      </c>
      <c r="M86" s="2" t="n">
        <v>1923.96</v>
      </c>
      <c r="N86" s="2" t="s">
        <v>273</v>
      </c>
      <c r="O86" s="2" t="s">
        <v>26</v>
      </c>
      <c r="P86" s="2" t="s">
        <v>105</v>
      </c>
      <c r="Q86" s="3" t="n">
        <f aca="false">L86-M86</f>
        <v>-198.46</v>
      </c>
    </row>
    <row r="87" customFormat="false" ht="15" hidden="false" customHeight="false" outlineLevel="0" collapsed="false">
      <c r="A87" s="3" t="s">
        <v>274</v>
      </c>
      <c r="B87" s="3" t="s">
        <v>275</v>
      </c>
      <c r="C87" s="3" t="s">
        <v>83</v>
      </c>
      <c r="D87" s="3" t="s">
        <v>84</v>
      </c>
      <c r="E87" s="3" t="s">
        <v>21</v>
      </c>
      <c r="F87" s="3" t="s">
        <v>43</v>
      </c>
      <c r="G87" s="3" t="s">
        <v>44</v>
      </c>
      <c r="H87" s="3" t="s">
        <v>35</v>
      </c>
      <c r="I87" s="3" t="n">
        <v>173</v>
      </c>
      <c r="J87" s="3" t="n">
        <v>85</v>
      </c>
      <c r="K87" s="3" t="n">
        <v>0</v>
      </c>
      <c r="L87" s="3" t="n">
        <v>14705</v>
      </c>
      <c r="M87" s="3" t="n">
        <v>14586.1</v>
      </c>
      <c r="N87" s="3" t="s">
        <v>253</v>
      </c>
      <c r="O87" s="3" t="s">
        <v>26</v>
      </c>
      <c r="P87" s="3" t="s">
        <v>27</v>
      </c>
      <c r="Q87" s="3" t="n">
        <f aca="false">L87-M87</f>
        <v>118.9</v>
      </c>
    </row>
    <row r="88" customFormat="false" ht="15" hidden="false" customHeight="false" outlineLevel="0" collapsed="false">
      <c r="A88" s="2" t="s">
        <v>276</v>
      </c>
      <c r="B88" s="2" t="s">
        <v>277</v>
      </c>
      <c r="C88" s="2" t="s">
        <v>55</v>
      </c>
      <c r="D88" s="2" t="s">
        <v>56</v>
      </c>
      <c r="E88" s="2" t="s">
        <v>57</v>
      </c>
      <c r="F88" s="2" t="s">
        <v>98</v>
      </c>
      <c r="G88" s="2" t="s">
        <v>99</v>
      </c>
      <c r="H88" s="2" t="s">
        <v>68</v>
      </c>
      <c r="I88" s="2" t="n">
        <v>120</v>
      </c>
      <c r="J88" s="2" t="n">
        <v>22</v>
      </c>
      <c r="K88" s="2" t="n">
        <v>0</v>
      </c>
      <c r="L88" s="2" t="n">
        <v>2640</v>
      </c>
      <c r="M88" s="2" t="n">
        <v>2711.59</v>
      </c>
      <c r="N88" s="2" t="s">
        <v>147</v>
      </c>
      <c r="O88" s="2" t="s">
        <v>26</v>
      </c>
      <c r="P88" s="2" t="s">
        <v>105</v>
      </c>
      <c r="Q88" s="3" t="n">
        <f aca="false">L88-M88</f>
        <v>-71.5900000000002</v>
      </c>
    </row>
    <row r="89" customFormat="false" ht="15" hidden="false" customHeight="false" outlineLevel="0" collapsed="false">
      <c r="A89" s="3" t="s">
        <v>278</v>
      </c>
      <c r="B89" s="3" t="s">
        <v>279</v>
      </c>
      <c r="C89" s="3" t="s">
        <v>83</v>
      </c>
      <c r="D89" s="3" t="s">
        <v>84</v>
      </c>
      <c r="E89" s="3" t="s">
        <v>21</v>
      </c>
      <c r="F89" s="3" t="s">
        <v>43</v>
      </c>
      <c r="G89" s="3" t="s">
        <v>44</v>
      </c>
      <c r="H89" s="3" t="s">
        <v>35</v>
      </c>
      <c r="I89" s="3" t="n">
        <v>154</v>
      </c>
      <c r="J89" s="3" t="n">
        <v>85</v>
      </c>
      <c r="K89" s="3" t="n">
        <v>0</v>
      </c>
      <c r="L89" s="3" t="n">
        <v>13090</v>
      </c>
      <c r="M89" s="3" t="n">
        <v>13941.47</v>
      </c>
      <c r="N89" s="3" t="s">
        <v>280</v>
      </c>
      <c r="O89" s="3" t="s">
        <v>52</v>
      </c>
      <c r="P89" s="3" t="s">
        <v>27</v>
      </c>
      <c r="Q89" s="3" t="n">
        <f aca="false">L89-M89</f>
        <v>-851.469999999999</v>
      </c>
    </row>
    <row r="90" customFormat="false" ht="15" hidden="false" customHeight="false" outlineLevel="0" collapsed="false">
      <c r="A90" s="2" t="s">
        <v>281</v>
      </c>
      <c r="B90" s="2" t="s">
        <v>97</v>
      </c>
      <c r="C90" s="2" t="s">
        <v>83</v>
      </c>
      <c r="D90" s="2" t="s">
        <v>84</v>
      </c>
      <c r="E90" s="2" t="s">
        <v>21</v>
      </c>
      <c r="F90" s="2" t="s">
        <v>58</v>
      </c>
      <c r="G90" s="2" t="s">
        <v>59</v>
      </c>
      <c r="H90" s="2" t="s">
        <v>60</v>
      </c>
      <c r="I90" s="2" t="n">
        <v>98</v>
      </c>
      <c r="J90" s="2" t="n">
        <v>18</v>
      </c>
      <c r="K90" s="2" t="n">
        <v>10</v>
      </c>
      <c r="L90" s="2" t="n">
        <v>1587.6</v>
      </c>
      <c r="M90" s="2" t="n">
        <v>1693.14</v>
      </c>
      <c r="N90" s="2" t="s">
        <v>228</v>
      </c>
      <c r="O90" s="2" t="s">
        <v>26</v>
      </c>
      <c r="P90" s="2" t="s">
        <v>26</v>
      </c>
      <c r="Q90" s="3" t="n">
        <f aca="false">L90-M90</f>
        <v>-105.54</v>
      </c>
    </row>
    <row r="91" customFormat="false" ht="15" hidden="false" customHeight="false" outlineLevel="0" collapsed="false">
      <c r="A91" s="3" t="s">
        <v>282</v>
      </c>
      <c r="B91" s="3" t="s">
        <v>283</v>
      </c>
      <c r="C91" s="3" t="s">
        <v>55</v>
      </c>
      <c r="D91" s="3" t="s">
        <v>56</v>
      </c>
      <c r="E91" s="3" t="s">
        <v>57</v>
      </c>
      <c r="F91" s="3" t="s">
        <v>43</v>
      </c>
      <c r="G91" s="3" t="s">
        <v>44</v>
      </c>
      <c r="H91" s="3" t="s">
        <v>35</v>
      </c>
      <c r="I91" s="3" t="n">
        <v>160</v>
      </c>
      <c r="J91" s="3" t="n">
        <v>85</v>
      </c>
      <c r="K91" s="3" t="n">
        <v>0</v>
      </c>
      <c r="L91" s="3" t="n">
        <v>13600</v>
      </c>
      <c r="M91" s="3" t="n">
        <v>14441.65</v>
      </c>
      <c r="N91" s="3" t="s">
        <v>168</v>
      </c>
      <c r="O91" s="3" t="s">
        <v>26</v>
      </c>
      <c r="P91" s="3" t="s">
        <v>105</v>
      </c>
      <c r="Q91" s="3" t="n">
        <f aca="false">L91-M91</f>
        <v>-841.65</v>
      </c>
    </row>
    <row r="92" customFormat="false" ht="15" hidden="false" customHeight="false" outlineLevel="0" collapsed="false">
      <c r="A92" s="2" t="s">
        <v>284</v>
      </c>
      <c r="B92" s="2" t="s">
        <v>285</v>
      </c>
      <c r="C92" s="2" t="s">
        <v>161</v>
      </c>
      <c r="D92" s="2" t="s">
        <v>162</v>
      </c>
      <c r="E92" s="2" t="s">
        <v>57</v>
      </c>
      <c r="F92" s="2" t="s">
        <v>88</v>
      </c>
      <c r="G92" s="2" t="s">
        <v>89</v>
      </c>
      <c r="H92" s="2" t="s">
        <v>74</v>
      </c>
      <c r="I92" s="2" t="n">
        <v>39</v>
      </c>
      <c r="J92" s="2" t="n">
        <v>38</v>
      </c>
      <c r="K92" s="2" t="n">
        <v>0</v>
      </c>
      <c r="L92" s="2" t="n">
        <v>1482</v>
      </c>
      <c r="M92" s="2" t="n">
        <v>1503.96</v>
      </c>
      <c r="N92" s="2" t="s">
        <v>228</v>
      </c>
      <c r="O92" s="2" t="s">
        <v>46</v>
      </c>
      <c r="P92" s="2" t="s">
        <v>37</v>
      </c>
      <c r="Q92" s="3" t="n">
        <f aca="false">L92-M92</f>
        <v>-21.96</v>
      </c>
    </row>
    <row r="93" customFormat="false" ht="15" hidden="false" customHeight="false" outlineLevel="0" collapsed="false">
      <c r="A93" s="3" t="s">
        <v>286</v>
      </c>
      <c r="B93" s="3" t="s">
        <v>287</v>
      </c>
      <c r="C93" s="3" t="s">
        <v>55</v>
      </c>
      <c r="D93" s="3" t="s">
        <v>56</v>
      </c>
      <c r="E93" s="3" t="s">
        <v>57</v>
      </c>
      <c r="F93" s="3" t="s">
        <v>33</v>
      </c>
      <c r="G93" s="3" t="s">
        <v>34</v>
      </c>
      <c r="H93" s="3" t="s">
        <v>35</v>
      </c>
      <c r="I93" s="3" t="n">
        <v>107</v>
      </c>
      <c r="J93" s="3" t="n">
        <v>45</v>
      </c>
      <c r="K93" s="3" t="n">
        <v>10</v>
      </c>
      <c r="L93" s="3" t="n">
        <v>4333.5</v>
      </c>
      <c r="M93" s="3" t="n">
        <v>5011.14</v>
      </c>
      <c r="N93" s="3" t="s">
        <v>205</v>
      </c>
      <c r="O93" s="3" t="s">
        <v>37</v>
      </c>
      <c r="P93" s="3" t="s">
        <v>37</v>
      </c>
      <c r="Q93" s="3" t="n">
        <f aca="false">L93-M93</f>
        <v>-677.64</v>
      </c>
    </row>
    <row r="94" customFormat="false" ht="15" hidden="false" customHeight="false" outlineLevel="0" collapsed="false">
      <c r="A94" s="2" t="s">
        <v>288</v>
      </c>
      <c r="B94" s="2" t="s">
        <v>289</v>
      </c>
      <c r="C94" s="2" t="s">
        <v>161</v>
      </c>
      <c r="D94" s="2" t="s">
        <v>162</v>
      </c>
      <c r="E94" s="2" t="s">
        <v>57</v>
      </c>
      <c r="F94" s="2" t="s">
        <v>72</v>
      </c>
      <c r="G94" s="2" t="s">
        <v>73</v>
      </c>
      <c r="H94" s="2" t="s">
        <v>74</v>
      </c>
      <c r="I94" s="2" t="n">
        <v>87</v>
      </c>
      <c r="J94" s="2" t="n">
        <v>55</v>
      </c>
      <c r="K94" s="2" t="n">
        <v>0</v>
      </c>
      <c r="L94" s="2" t="n">
        <v>4785</v>
      </c>
      <c r="M94" s="2" t="n">
        <v>4352.2</v>
      </c>
      <c r="N94" s="2" t="s">
        <v>231</v>
      </c>
      <c r="O94" s="2" t="s">
        <v>26</v>
      </c>
      <c r="P94" s="2" t="s">
        <v>37</v>
      </c>
      <c r="Q94" s="3" t="n">
        <f aca="false">L94-M94</f>
        <v>432.8</v>
      </c>
    </row>
    <row r="95" customFormat="false" ht="15" hidden="false" customHeight="false" outlineLevel="0" collapsed="false">
      <c r="A95" s="3" t="s">
        <v>290</v>
      </c>
      <c r="B95" s="3" t="s">
        <v>291</v>
      </c>
      <c r="C95" s="3" t="s">
        <v>64</v>
      </c>
      <c r="D95" s="3" t="s">
        <v>65</v>
      </c>
      <c r="E95" s="3" t="s">
        <v>32</v>
      </c>
      <c r="F95" s="3" t="s">
        <v>98</v>
      </c>
      <c r="G95" s="3" t="s">
        <v>99</v>
      </c>
      <c r="H95" s="3" t="s">
        <v>68</v>
      </c>
      <c r="I95" s="3" t="n">
        <v>155</v>
      </c>
      <c r="J95" s="3" t="n">
        <v>22</v>
      </c>
      <c r="K95" s="3" t="n">
        <v>10</v>
      </c>
      <c r="L95" s="3" t="n">
        <v>3069</v>
      </c>
      <c r="M95" s="3" t="n">
        <v>3201.75</v>
      </c>
      <c r="N95" s="3" t="s">
        <v>141</v>
      </c>
      <c r="O95" s="3" t="s">
        <v>52</v>
      </c>
      <c r="P95" s="3" t="s">
        <v>26</v>
      </c>
      <c r="Q95" s="3" t="n">
        <f aca="false">L95-M95</f>
        <v>-132.75</v>
      </c>
    </row>
    <row r="96" customFormat="false" ht="15" hidden="false" customHeight="false" outlineLevel="0" collapsed="false">
      <c r="A96" s="2" t="s">
        <v>292</v>
      </c>
      <c r="B96" s="2" t="s">
        <v>293</v>
      </c>
      <c r="C96" s="2" t="s">
        <v>19</v>
      </c>
      <c r="D96" s="2" t="s">
        <v>20</v>
      </c>
      <c r="E96" s="2" t="s">
        <v>21</v>
      </c>
      <c r="F96" s="2" t="s">
        <v>72</v>
      </c>
      <c r="G96" s="2" t="s">
        <v>73</v>
      </c>
      <c r="H96" s="2" t="s">
        <v>74</v>
      </c>
      <c r="I96" s="2" t="n">
        <v>165</v>
      </c>
      <c r="J96" s="2" t="n">
        <v>55</v>
      </c>
      <c r="K96" s="2" t="n">
        <v>0</v>
      </c>
      <c r="L96" s="2" t="n">
        <v>9075</v>
      </c>
      <c r="M96" s="2" t="n">
        <v>8564.99</v>
      </c>
      <c r="N96" s="2" t="s">
        <v>113</v>
      </c>
      <c r="O96" s="2" t="s">
        <v>37</v>
      </c>
      <c r="P96" s="2" t="s">
        <v>37</v>
      </c>
      <c r="Q96" s="3" t="n">
        <f aca="false">L96-M96</f>
        <v>510.01</v>
      </c>
    </row>
    <row r="97" customFormat="false" ht="15" hidden="false" customHeight="false" outlineLevel="0" collapsed="false">
      <c r="A97" s="3" t="s">
        <v>294</v>
      </c>
      <c r="B97" s="3" t="s">
        <v>295</v>
      </c>
      <c r="C97" s="3" t="s">
        <v>30</v>
      </c>
      <c r="D97" s="3" t="s">
        <v>31</v>
      </c>
      <c r="E97" s="3" t="s">
        <v>32</v>
      </c>
      <c r="F97" s="3" t="s">
        <v>108</v>
      </c>
      <c r="G97" s="3" t="s">
        <v>109</v>
      </c>
      <c r="H97" s="3" t="s">
        <v>60</v>
      </c>
      <c r="I97" s="3" t="n">
        <v>20</v>
      </c>
      <c r="J97" s="3" t="n">
        <v>12.5</v>
      </c>
      <c r="K97" s="3" t="n">
        <v>0</v>
      </c>
      <c r="L97" s="3" t="n">
        <v>250</v>
      </c>
      <c r="M97" s="3" t="n">
        <v>260.38</v>
      </c>
      <c r="N97" s="3" t="s">
        <v>184</v>
      </c>
      <c r="O97" s="3" t="s">
        <v>46</v>
      </c>
      <c r="P97" s="3" t="s">
        <v>37</v>
      </c>
      <c r="Q97" s="3" t="n">
        <f aca="false">L97-M97</f>
        <v>-10.38</v>
      </c>
    </row>
    <row r="98" customFormat="false" ht="15" hidden="false" customHeight="false" outlineLevel="0" collapsed="false">
      <c r="A98" s="2" t="s">
        <v>296</v>
      </c>
      <c r="B98" s="2" t="s">
        <v>297</v>
      </c>
      <c r="C98" s="2" t="s">
        <v>77</v>
      </c>
      <c r="D98" s="2" t="s">
        <v>78</v>
      </c>
      <c r="E98" s="2" t="s">
        <v>79</v>
      </c>
      <c r="F98" s="2" t="s">
        <v>72</v>
      </c>
      <c r="G98" s="2" t="s">
        <v>73</v>
      </c>
      <c r="H98" s="2" t="s">
        <v>74</v>
      </c>
      <c r="I98" s="2" t="n">
        <v>102</v>
      </c>
      <c r="J98" s="2" t="n">
        <v>55</v>
      </c>
      <c r="K98" s="2" t="n">
        <v>0</v>
      </c>
      <c r="L98" s="2" t="n">
        <v>5610</v>
      </c>
      <c r="M98" s="2" t="n">
        <v>5388.14</v>
      </c>
      <c r="N98" s="2" t="s">
        <v>163</v>
      </c>
      <c r="O98" s="2" t="s">
        <v>104</v>
      </c>
      <c r="P98" s="2" t="s">
        <v>37</v>
      </c>
      <c r="Q98" s="3" t="n">
        <f aca="false">L98-M98</f>
        <v>221.86</v>
      </c>
    </row>
    <row r="99" customFormat="false" ht="15" hidden="false" customHeight="false" outlineLevel="0" collapsed="false">
      <c r="A99" s="3" t="s">
        <v>298</v>
      </c>
      <c r="B99" s="3" t="s">
        <v>299</v>
      </c>
      <c r="C99" s="3" t="s">
        <v>55</v>
      </c>
      <c r="D99" s="3" t="s">
        <v>56</v>
      </c>
      <c r="E99" s="3" t="s">
        <v>57</v>
      </c>
      <c r="F99" s="3" t="s">
        <v>66</v>
      </c>
      <c r="G99" s="3" t="s">
        <v>67</v>
      </c>
      <c r="H99" s="3" t="s">
        <v>68</v>
      </c>
      <c r="I99" s="3" t="n">
        <v>32</v>
      </c>
      <c r="J99" s="3" t="n">
        <v>35</v>
      </c>
      <c r="K99" s="3" t="n">
        <v>5</v>
      </c>
      <c r="L99" s="3" t="n">
        <v>1064</v>
      </c>
      <c r="M99" s="3" t="n">
        <v>1157.91</v>
      </c>
      <c r="N99" s="3" t="s">
        <v>300</v>
      </c>
      <c r="O99" s="3" t="s">
        <v>26</v>
      </c>
      <c r="P99" s="3" t="s">
        <v>105</v>
      </c>
      <c r="Q99" s="3" t="n">
        <f aca="false">L99-M99</f>
        <v>-93.9100000000001</v>
      </c>
    </row>
    <row r="100" customFormat="false" ht="15" hidden="false" customHeight="false" outlineLevel="0" collapsed="false">
      <c r="A100" s="2" t="s">
        <v>301</v>
      </c>
      <c r="B100" s="2" t="s">
        <v>302</v>
      </c>
      <c r="C100" s="2" t="s">
        <v>55</v>
      </c>
      <c r="D100" s="2" t="s">
        <v>56</v>
      </c>
      <c r="E100" s="2" t="s">
        <v>57</v>
      </c>
      <c r="F100" s="2" t="s">
        <v>22</v>
      </c>
      <c r="G100" s="2" t="s">
        <v>23</v>
      </c>
      <c r="H100" s="2" t="s">
        <v>24</v>
      </c>
      <c r="I100" s="2" t="n">
        <v>186</v>
      </c>
      <c r="J100" s="2" t="n">
        <v>32</v>
      </c>
      <c r="K100" s="2" t="n">
        <v>0</v>
      </c>
      <c r="L100" s="2" t="n">
        <v>5952</v>
      </c>
      <c r="M100" s="2" t="n">
        <v>6117.12</v>
      </c>
      <c r="N100" s="2" t="s">
        <v>190</v>
      </c>
      <c r="O100" s="2" t="s">
        <v>46</v>
      </c>
      <c r="P100" s="2" t="s">
        <v>26</v>
      </c>
      <c r="Q100" s="3" t="n">
        <f aca="false">L100-M100</f>
        <v>-165.12</v>
      </c>
    </row>
    <row r="101" customFormat="false" ht="15" hidden="false" customHeight="false" outlineLevel="0" collapsed="false">
      <c r="A101" s="3" t="s">
        <v>303</v>
      </c>
      <c r="B101" s="3" t="s">
        <v>266</v>
      </c>
      <c r="C101" s="3" t="s">
        <v>64</v>
      </c>
      <c r="D101" s="3" t="s">
        <v>65</v>
      </c>
      <c r="E101" s="3" t="s">
        <v>32</v>
      </c>
      <c r="F101" s="3" t="s">
        <v>33</v>
      </c>
      <c r="G101" s="3" t="s">
        <v>34</v>
      </c>
      <c r="H101" s="3" t="s">
        <v>35</v>
      </c>
      <c r="I101" s="3" t="n">
        <v>154</v>
      </c>
      <c r="J101" s="3" t="n">
        <v>45</v>
      </c>
      <c r="K101" s="3" t="n">
        <v>15</v>
      </c>
      <c r="L101" s="3" t="n">
        <v>5890.5</v>
      </c>
      <c r="M101" s="3" t="n">
        <v>6792.49</v>
      </c>
      <c r="N101" s="3" t="s">
        <v>304</v>
      </c>
      <c r="O101" s="3" t="s">
        <v>52</v>
      </c>
      <c r="P101" s="3" t="s">
        <v>27</v>
      </c>
      <c r="Q101" s="3" t="n">
        <f aca="false">L101-M101</f>
        <v>-901.99</v>
      </c>
    </row>
    <row r="102" customFormat="false" ht="15" hidden="false" customHeight="false" outlineLevel="0" collapsed="false">
      <c r="A102" s="2" t="s">
        <v>305</v>
      </c>
      <c r="B102" s="2" t="s">
        <v>306</v>
      </c>
      <c r="C102" s="2" t="s">
        <v>55</v>
      </c>
      <c r="D102" s="2" t="s">
        <v>56</v>
      </c>
      <c r="E102" s="2" t="s">
        <v>57</v>
      </c>
      <c r="F102" s="2" t="s">
        <v>88</v>
      </c>
      <c r="G102" s="2" t="s">
        <v>89</v>
      </c>
      <c r="H102" s="2" t="s">
        <v>74</v>
      </c>
      <c r="I102" s="2" t="n">
        <v>74</v>
      </c>
      <c r="J102" s="2" t="n">
        <v>38</v>
      </c>
      <c r="K102" s="2" t="n">
        <v>0</v>
      </c>
      <c r="L102" s="2" t="n">
        <v>2812</v>
      </c>
      <c r="M102" s="2" t="n">
        <v>2795.3</v>
      </c>
      <c r="N102" s="2" t="s">
        <v>103</v>
      </c>
      <c r="O102" s="2" t="s">
        <v>52</v>
      </c>
      <c r="P102" s="2" t="s">
        <v>37</v>
      </c>
      <c r="Q102" s="3" t="n">
        <f aca="false">L102-M102</f>
        <v>16.6999999999998</v>
      </c>
    </row>
    <row r="103" customFormat="false" ht="15" hidden="false" customHeight="false" outlineLevel="0" collapsed="false">
      <c r="A103" s="3" t="s">
        <v>307</v>
      </c>
      <c r="B103" s="3" t="s">
        <v>308</v>
      </c>
      <c r="C103" s="3" t="s">
        <v>64</v>
      </c>
      <c r="D103" s="3" t="s">
        <v>65</v>
      </c>
      <c r="E103" s="3" t="s">
        <v>32</v>
      </c>
      <c r="F103" s="3" t="s">
        <v>66</v>
      </c>
      <c r="G103" s="3" t="s">
        <v>67</v>
      </c>
      <c r="H103" s="3" t="s">
        <v>68</v>
      </c>
      <c r="I103" s="3" t="n">
        <v>126</v>
      </c>
      <c r="J103" s="3" t="n">
        <v>35</v>
      </c>
      <c r="K103" s="3" t="n">
        <v>0</v>
      </c>
      <c r="L103" s="3" t="n">
        <v>4410</v>
      </c>
      <c r="M103" s="3" t="n">
        <v>4342.09</v>
      </c>
      <c r="N103" s="3" t="s">
        <v>51</v>
      </c>
      <c r="O103" s="3" t="s">
        <v>26</v>
      </c>
      <c r="P103" s="3" t="s">
        <v>37</v>
      </c>
      <c r="Q103" s="3" t="n">
        <f aca="false">L103-M103</f>
        <v>67.9099999999999</v>
      </c>
    </row>
    <row r="104" customFormat="false" ht="15" hidden="false" customHeight="false" outlineLevel="0" collapsed="false">
      <c r="A104" s="2" t="s">
        <v>309</v>
      </c>
      <c r="B104" s="2" t="s">
        <v>310</v>
      </c>
      <c r="C104" s="2" t="s">
        <v>55</v>
      </c>
      <c r="D104" s="2" t="s">
        <v>56</v>
      </c>
      <c r="E104" s="2" t="s">
        <v>57</v>
      </c>
      <c r="F104" s="2" t="s">
        <v>108</v>
      </c>
      <c r="G104" s="2" t="s">
        <v>109</v>
      </c>
      <c r="H104" s="2" t="s">
        <v>60</v>
      </c>
      <c r="I104" s="2" t="n">
        <v>33</v>
      </c>
      <c r="J104" s="2" t="n">
        <v>12.5</v>
      </c>
      <c r="K104" s="2" t="n">
        <v>0</v>
      </c>
      <c r="L104" s="2" t="n">
        <v>412.5</v>
      </c>
      <c r="M104" s="2" t="n">
        <v>390.44</v>
      </c>
      <c r="N104" s="2" t="s">
        <v>260</v>
      </c>
      <c r="O104" s="2" t="s">
        <v>46</v>
      </c>
      <c r="P104" s="2" t="s">
        <v>27</v>
      </c>
      <c r="Q104" s="3" t="n">
        <f aca="false">L104-M104</f>
        <v>22.06</v>
      </c>
    </row>
    <row r="105" customFormat="false" ht="15" hidden="false" customHeight="false" outlineLevel="0" collapsed="false">
      <c r="A105" s="3" t="s">
        <v>311</v>
      </c>
      <c r="B105" s="3" t="s">
        <v>312</v>
      </c>
      <c r="C105" s="3" t="s">
        <v>40</v>
      </c>
      <c r="D105" s="3" t="s">
        <v>41</v>
      </c>
      <c r="E105" s="3" t="s">
        <v>42</v>
      </c>
      <c r="F105" s="3" t="s">
        <v>66</v>
      </c>
      <c r="G105" s="3" t="s">
        <v>67</v>
      </c>
      <c r="H105" s="3" t="s">
        <v>68</v>
      </c>
      <c r="I105" s="3" t="n">
        <v>122</v>
      </c>
      <c r="J105" s="3" t="n">
        <v>35</v>
      </c>
      <c r="K105" s="3" t="n">
        <v>10</v>
      </c>
      <c r="L105" s="3" t="n">
        <v>3843</v>
      </c>
      <c r="M105" s="3" t="n">
        <v>4228.57</v>
      </c>
      <c r="N105" s="3" t="s">
        <v>144</v>
      </c>
      <c r="O105" s="3" t="s">
        <v>52</v>
      </c>
      <c r="P105" s="3" t="s">
        <v>105</v>
      </c>
      <c r="Q105" s="3" t="n">
        <f aca="false">L105-M105</f>
        <v>-385.57</v>
      </c>
    </row>
    <row r="106" customFormat="false" ht="15" hidden="false" customHeight="false" outlineLevel="0" collapsed="false">
      <c r="A106" s="2" t="s">
        <v>313</v>
      </c>
      <c r="B106" s="2" t="s">
        <v>314</v>
      </c>
      <c r="C106" s="2" t="s">
        <v>64</v>
      </c>
      <c r="D106" s="2" t="s">
        <v>65</v>
      </c>
      <c r="E106" s="2" t="s">
        <v>32</v>
      </c>
      <c r="F106" s="2" t="s">
        <v>22</v>
      </c>
      <c r="G106" s="2" t="s">
        <v>23</v>
      </c>
      <c r="H106" s="2" t="s">
        <v>24</v>
      </c>
      <c r="I106" s="2" t="n">
        <v>127</v>
      </c>
      <c r="J106" s="2" t="n">
        <v>32</v>
      </c>
      <c r="K106" s="2" t="n">
        <v>15</v>
      </c>
      <c r="L106" s="2" t="n">
        <v>3454.4</v>
      </c>
      <c r="M106" s="2" t="n">
        <v>4441.16</v>
      </c>
      <c r="N106" s="2" t="s">
        <v>119</v>
      </c>
      <c r="O106" s="2" t="s">
        <v>26</v>
      </c>
      <c r="P106" s="2" t="s">
        <v>52</v>
      </c>
      <c r="Q106" s="3" t="n">
        <f aca="false">L106-M106</f>
        <v>-986.76</v>
      </c>
    </row>
    <row r="107" customFormat="false" ht="15" hidden="false" customHeight="false" outlineLevel="0" collapsed="false">
      <c r="A107" s="3" t="s">
        <v>315</v>
      </c>
      <c r="B107" s="3" t="s">
        <v>316</v>
      </c>
      <c r="C107" s="3" t="s">
        <v>55</v>
      </c>
      <c r="D107" s="3" t="s">
        <v>56</v>
      </c>
      <c r="E107" s="3" t="s">
        <v>57</v>
      </c>
      <c r="F107" s="3" t="s">
        <v>72</v>
      </c>
      <c r="G107" s="3" t="s">
        <v>73</v>
      </c>
      <c r="H107" s="3" t="s">
        <v>74</v>
      </c>
      <c r="I107" s="3" t="n">
        <v>185</v>
      </c>
      <c r="J107" s="3" t="n">
        <v>55</v>
      </c>
      <c r="K107" s="3" t="n">
        <v>0</v>
      </c>
      <c r="L107" s="3" t="n">
        <v>10175</v>
      </c>
      <c r="M107" s="3" t="n">
        <v>10872.7</v>
      </c>
      <c r="N107" s="3" t="s">
        <v>80</v>
      </c>
      <c r="O107" s="3" t="s">
        <v>104</v>
      </c>
      <c r="P107" s="3" t="s">
        <v>27</v>
      </c>
      <c r="Q107" s="3" t="n">
        <f aca="false">L107-M107</f>
        <v>-697.700000000001</v>
      </c>
    </row>
    <row r="108" customFormat="false" ht="15" hidden="false" customHeight="false" outlineLevel="0" collapsed="false">
      <c r="A108" s="2" t="s">
        <v>317</v>
      </c>
      <c r="B108" s="2" t="s">
        <v>318</v>
      </c>
      <c r="C108" s="2" t="s">
        <v>19</v>
      </c>
      <c r="D108" s="2" t="s">
        <v>20</v>
      </c>
      <c r="E108" s="2" t="s">
        <v>21</v>
      </c>
      <c r="F108" s="2" t="s">
        <v>49</v>
      </c>
      <c r="G108" s="2" t="s">
        <v>50</v>
      </c>
      <c r="H108" s="2" t="s">
        <v>24</v>
      </c>
      <c r="I108" s="2" t="n">
        <v>24</v>
      </c>
      <c r="J108" s="2" t="n">
        <v>28</v>
      </c>
      <c r="K108" s="2" t="n">
        <v>10</v>
      </c>
      <c r="L108" s="2" t="n">
        <v>604.8</v>
      </c>
      <c r="M108" s="2" t="n">
        <v>615.57</v>
      </c>
      <c r="N108" s="2" t="s">
        <v>300</v>
      </c>
      <c r="O108" s="2" t="s">
        <v>46</v>
      </c>
      <c r="P108" s="2" t="s">
        <v>27</v>
      </c>
      <c r="Q108" s="3" t="n">
        <f aca="false">L108-M108</f>
        <v>-10.7700000000001</v>
      </c>
    </row>
    <row r="109" customFormat="false" ht="15" hidden="false" customHeight="false" outlineLevel="0" collapsed="false">
      <c r="A109" s="3" t="s">
        <v>319</v>
      </c>
      <c r="B109" s="3" t="s">
        <v>320</v>
      </c>
      <c r="C109" s="3" t="s">
        <v>161</v>
      </c>
      <c r="D109" s="3" t="s">
        <v>162</v>
      </c>
      <c r="E109" s="3" t="s">
        <v>57</v>
      </c>
      <c r="F109" s="3" t="s">
        <v>49</v>
      </c>
      <c r="G109" s="3" t="s">
        <v>50</v>
      </c>
      <c r="H109" s="3" t="s">
        <v>24</v>
      </c>
      <c r="I109" s="3" t="n">
        <v>109</v>
      </c>
      <c r="J109" s="3" t="n">
        <v>28</v>
      </c>
      <c r="K109" s="3" t="n">
        <v>5</v>
      </c>
      <c r="L109" s="3" t="n">
        <v>2899.4</v>
      </c>
      <c r="M109" s="3" t="n">
        <v>2773.37</v>
      </c>
      <c r="N109" s="3" t="s">
        <v>273</v>
      </c>
      <c r="O109" s="3" t="s">
        <v>37</v>
      </c>
      <c r="P109" s="3" t="s">
        <v>26</v>
      </c>
      <c r="Q109" s="3" t="n">
        <f aca="false">L109-M109</f>
        <v>126.03</v>
      </c>
    </row>
    <row r="110" customFormat="false" ht="15" hidden="false" customHeight="false" outlineLevel="0" collapsed="false">
      <c r="A110" s="2" t="s">
        <v>321</v>
      </c>
      <c r="B110" s="2" t="s">
        <v>262</v>
      </c>
      <c r="C110" s="2" t="s">
        <v>55</v>
      </c>
      <c r="D110" s="2" t="s">
        <v>56</v>
      </c>
      <c r="E110" s="2" t="s">
        <v>57</v>
      </c>
      <c r="F110" s="2" t="s">
        <v>66</v>
      </c>
      <c r="G110" s="2" t="s">
        <v>67</v>
      </c>
      <c r="H110" s="2" t="s">
        <v>68</v>
      </c>
      <c r="I110" s="2" t="n">
        <v>47</v>
      </c>
      <c r="J110" s="2" t="n">
        <v>35</v>
      </c>
      <c r="K110" s="2" t="n">
        <v>0</v>
      </c>
      <c r="L110" s="2" t="n">
        <v>1645</v>
      </c>
      <c r="M110" s="2" t="n">
        <v>1494.34</v>
      </c>
      <c r="N110" s="2" t="s">
        <v>163</v>
      </c>
      <c r="O110" s="2" t="s">
        <v>37</v>
      </c>
      <c r="P110" s="2" t="s">
        <v>27</v>
      </c>
      <c r="Q110" s="3" t="n">
        <f aca="false">L110-M110</f>
        <v>150.66</v>
      </c>
    </row>
    <row r="111" customFormat="false" ht="15" hidden="false" customHeight="false" outlineLevel="0" collapsed="false">
      <c r="A111" s="3" t="s">
        <v>322</v>
      </c>
      <c r="B111" s="3" t="s">
        <v>323</v>
      </c>
      <c r="C111" s="3" t="s">
        <v>64</v>
      </c>
      <c r="D111" s="3" t="s">
        <v>65</v>
      </c>
      <c r="E111" s="3" t="s">
        <v>32</v>
      </c>
      <c r="F111" s="3" t="s">
        <v>33</v>
      </c>
      <c r="G111" s="3" t="s">
        <v>34</v>
      </c>
      <c r="H111" s="3" t="s">
        <v>35</v>
      </c>
      <c r="I111" s="3" t="n">
        <v>31</v>
      </c>
      <c r="J111" s="3" t="n">
        <v>45</v>
      </c>
      <c r="K111" s="3" t="n">
        <v>15</v>
      </c>
      <c r="L111" s="3" t="n">
        <v>1185.75</v>
      </c>
      <c r="M111" s="3" t="n">
        <v>1391.09</v>
      </c>
      <c r="N111" s="3" t="s">
        <v>136</v>
      </c>
      <c r="O111" s="3" t="s">
        <v>104</v>
      </c>
      <c r="P111" s="3" t="s">
        <v>37</v>
      </c>
      <c r="Q111" s="3" t="n">
        <f aca="false">L111-M111</f>
        <v>-205.34</v>
      </c>
    </row>
    <row r="112" customFormat="false" ht="15" hidden="false" customHeight="false" outlineLevel="0" collapsed="false">
      <c r="A112" s="2" t="s">
        <v>324</v>
      </c>
      <c r="B112" s="2" t="s">
        <v>325</v>
      </c>
      <c r="C112" s="2" t="s">
        <v>64</v>
      </c>
      <c r="D112" s="2" t="s">
        <v>65</v>
      </c>
      <c r="E112" s="2" t="s">
        <v>32</v>
      </c>
      <c r="F112" s="2" t="s">
        <v>98</v>
      </c>
      <c r="G112" s="2" t="s">
        <v>99</v>
      </c>
      <c r="H112" s="2" t="s">
        <v>68</v>
      </c>
      <c r="I112" s="2" t="n">
        <v>92</v>
      </c>
      <c r="J112" s="2" t="n">
        <v>22</v>
      </c>
      <c r="K112" s="2" t="n">
        <v>10</v>
      </c>
      <c r="L112" s="2" t="n">
        <v>1821.6</v>
      </c>
      <c r="M112" s="2" t="n">
        <v>2014.13</v>
      </c>
      <c r="N112" s="2" t="s">
        <v>304</v>
      </c>
      <c r="O112" s="2" t="s">
        <v>26</v>
      </c>
      <c r="P112" s="2" t="s">
        <v>27</v>
      </c>
      <c r="Q112" s="3" t="n">
        <f aca="false">L112-M112</f>
        <v>-192.53</v>
      </c>
    </row>
    <row r="113" customFormat="false" ht="15" hidden="false" customHeight="false" outlineLevel="0" collapsed="false">
      <c r="A113" s="3" t="s">
        <v>326</v>
      </c>
      <c r="B113" s="3" t="s">
        <v>327</v>
      </c>
      <c r="C113" s="3" t="s">
        <v>40</v>
      </c>
      <c r="D113" s="3" t="s">
        <v>41</v>
      </c>
      <c r="E113" s="3" t="s">
        <v>42</v>
      </c>
      <c r="F113" s="3" t="s">
        <v>33</v>
      </c>
      <c r="G113" s="3" t="s">
        <v>34</v>
      </c>
      <c r="H113" s="3" t="s">
        <v>35</v>
      </c>
      <c r="I113" s="3" t="n">
        <v>45</v>
      </c>
      <c r="J113" s="3" t="n">
        <v>45</v>
      </c>
      <c r="K113" s="3" t="n">
        <v>15</v>
      </c>
      <c r="L113" s="3" t="n">
        <v>1721.25</v>
      </c>
      <c r="M113" s="3" t="n">
        <v>1864.01</v>
      </c>
      <c r="N113" s="3" t="s">
        <v>103</v>
      </c>
      <c r="O113" s="3" t="s">
        <v>52</v>
      </c>
      <c r="P113" s="3" t="s">
        <v>37</v>
      </c>
      <c r="Q113" s="3" t="n">
        <f aca="false">L113-M113</f>
        <v>-142.76</v>
      </c>
    </row>
    <row r="114" customFormat="false" ht="15" hidden="false" customHeight="false" outlineLevel="0" collapsed="false">
      <c r="A114" s="2" t="s">
        <v>328</v>
      </c>
      <c r="B114" s="2" t="s">
        <v>314</v>
      </c>
      <c r="C114" s="2" t="s">
        <v>64</v>
      </c>
      <c r="D114" s="2" t="s">
        <v>65</v>
      </c>
      <c r="E114" s="2" t="s">
        <v>32</v>
      </c>
      <c r="F114" s="2" t="s">
        <v>22</v>
      </c>
      <c r="G114" s="2" t="s">
        <v>23</v>
      </c>
      <c r="H114" s="2" t="s">
        <v>24</v>
      </c>
      <c r="I114" s="2" t="n">
        <v>17</v>
      </c>
      <c r="J114" s="2" t="n">
        <v>32</v>
      </c>
      <c r="K114" s="2" t="n">
        <v>0</v>
      </c>
      <c r="L114" s="2" t="n">
        <v>544</v>
      </c>
      <c r="M114" s="2" t="n">
        <v>519.33</v>
      </c>
      <c r="N114" s="2" t="s">
        <v>329</v>
      </c>
      <c r="O114" s="2" t="s">
        <v>37</v>
      </c>
      <c r="P114" s="2" t="s">
        <v>26</v>
      </c>
      <c r="Q114" s="3" t="n">
        <f aca="false">L114-M114</f>
        <v>24.67</v>
      </c>
    </row>
    <row r="115" customFormat="false" ht="15" hidden="false" customHeight="false" outlineLevel="0" collapsed="false">
      <c r="A115" s="3" t="s">
        <v>330</v>
      </c>
      <c r="B115" s="3" t="s">
        <v>331</v>
      </c>
      <c r="C115" s="3" t="s">
        <v>77</v>
      </c>
      <c r="D115" s="3" t="s">
        <v>78</v>
      </c>
      <c r="E115" s="3" t="s">
        <v>79</v>
      </c>
      <c r="F115" s="3" t="s">
        <v>58</v>
      </c>
      <c r="G115" s="3" t="s">
        <v>59</v>
      </c>
      <c r="H115" s="3" t="s">
        <v>60</v>
      </c>
      <c r="I115" s="3" t="n">
        <v>81</v>
      </c>
      <c r="J115" s="3" t="n">
        <v>18</v>
      </c>
      <c r="K115" s="3" t="n">
        <v>5</v>
      </c>
      <c r="L115" s="3" t="n">
        <v>1385.1</v>
      </c>
      <c r="M115" s="3" t="n">
        <v>1497.57</v>
      </c>
      <c r="N115" s="3" t="s">
        <v>100</v>
      </c>
      <c r="O115" s="3" t="s">
        <v>37</v>
      </c>
      <c r="P115" s="3" t="s">
        <v>105</v>
      </c>
      <c r="Q115" s="3" t="n">
        <f aca="false">L115-M115</f>
        <v>-112.47</v>
      </c>
    </row>
    <row r="116" customFormat="false" ht="15" hidden="false" customHeight="false" outlineLevel="0" collapsed="false">
      <c r="A116" s="2" t="s">
        <v>332</v>
      </c>
      <c r="B116" s="2" t="s">
        <v>333</v>
      </c>
      <c r="C116" s="2" t="s">
        <v>19</v>
      </c>
      <c r="D116" s="2" t="s">
        <v>20</v>
      </c>
      <c r="E116" s="2" t="s">
        <v>21</v>
      </c>
      <c r="F116" s="2" t="s">
        <v>43</v>
      </c>
      <c r="G116" s="2" t="s">
        <v>44</v>
      </c>
      <c r="H116" s="2" t="s">
        <v>35</v>
      </c>
      <c r="I116" s="2" t="n">
        <v>187</v>
      </c>
      <c r="J116" s="2" t="n">
        <v>85</v>
      </c>
      <c r="K116" s="2" t="n">
        <v>5</v>
      </c>
      <c r="L116" s="2" t="n">
        <v>15100.25</v>
      </c>
      <c r="M116" s="2" t="n">
        <v>14941.87</v>
      </c>
      <c r="N116" s="2" t="s">
        <v>243</v>
      </c>
      <c r="O116" s="2" t="s">
        <v>26</v>
      </c>
      <c r="P116" s="2" t="s">
        <v>27</v>
      </c>
      <c r="Q116" s="3" t="n">
        <f aca="false">L116-M116</f>
        <v>158.379999999999</v>
      </c>
    </row>
    <row r="117" customFormat="false" ht="15" hidden="false" customHeight="false" outlineLevel="0" collapsed="false">
      <c r="A117" s="3" t="s">
        <v>334</v>
      </c>
      <c r="B117" s="3" t="s">
        <v>172</v>
      </c>
      <c r="C117" s="3" t="s">
        <v>83</v>
      </c>
      <c r="D117" s="3" t="s">
        <v>84</v>
      </c>
      <c r="E117" s="3" t="s">
        <v>21</v>
      </c>
      <c r="F117" s="3" t="s">
        <v>88</v>
      </c>
      <c r="G117" s="3" t="s">
        <v>89</v>
      </c>
      <c r="H117" s="3" t="s">
        <v>74</v>
      </c>
      <c r="I117" s="3" t="n">
        <v>39</v>
      </c>
      <c r="J117" s="3" t="n">
        <v>38</v>
      </c>
      <c r="K117" s="3" t="n">
        <v>15</v>
      </c>
      <c r="L117" s="3" t="n">
        <v>1259.7</v>
      </c>
      <c r="M117" s="3" t="n">
        <v>1394.68</v>
      </c>
      <c r="N117" s="3" t="s">
        <v>173</v>
      </c>
      <c r="O117" s="3" t="s">
        <v>52</v>
      </c>
      <c r="P117" s="3" t="s">
        <v>52</v>
      </c>
      <c r="Q117" s="3" t="n">
        <f aca="false">L117-M117</f>
        <v>-134.98</v>
      </c>
    </row>
    <row r="118" customFormat="false" ht="15" hidden="false" customHeight="false" outlineLevel="0" collapsed="false">
      <c r="A118" s="2" t="s">
        <v>335</v>
      </c>
      <c r="B118" s="2" t="s">
        <v>336</v>
      </c>
      <c r="C118" s="2" t="s">
        <v>64</v>
      </c>
      <c r="D118" s="2" t="s">
        <v>65</v>
      </c>
      <c r="E118" s="2" t="s">
        <v>32</v>
      </c>
      <c r="F118" s="2" t="s">
        <v>88</v>
      </c>
      <c r="G118" s="2" t="s">
        <v>89</v>
      </c>
      <c r="H118" s="2" t="s">
        <v>74</v>
      </c>
      <c r="I118" s="2" t="n">
        <v>78</v>
      </c>
      <c r="J118" s="2" t="n">
        <v>38</v>
      </c>
      <c r="K118" s="2" t="n">
        <v>0</v>
      </c>
      <c r="L118" s="2" t="n">
        <v>2964</v>
      </c>
      <c r="M118" s="2" t="n">
        <v>2792.67</v>
      </c>
      <c r="N118" s="2" t="s">
        <v>45</v>
      </c>
      <c r="O118" s="2" t="s">
        <v>104</v>
      </c>
      <c r="P118" s="2" t="s">
        <v>26</v>
      </c>
      <c r="Q118" s="3" t="n">
        <f aca="false">L118-M118</f>
        <v>171.33</v>
      </c>
    </row>
    <row r="119" customFormat="false" ht="15" hidden="false" customHeight="false" outlineLevel="0" collapsed="false">
      <c r="A119" s="3" t="s">
        <v>337</v>
      </c>
      <c r="B119" s="3" t="s">
        <v>338</v>
      </c>
      <c r="C119" s="3" t="s">
        <v>64</v>
      </c>
      <c r="D119" s="3" t="s">
        <v>65</v>
      </c>
      <c r="E119" s="3" t="s">
        <v>32</v>
      </c>
      <c r="F119" s="3" t="s">
        <v>88</v>
      </c>
      <c r="G119" s="3" t="s">
        <v>89</v>
      </c>
      <c r="H119" s="3" t="s">
        <v>74</v>
      </c>
      <c r="I119" s="3" t="n">
        <v>105</v>
      </c>
      <c r="J119" s="3" t="n">
        <v>38</v>
      </c>
      <c r="K119" s="3" t="n">
        <v>5</v>
      </c>
      <c r="L119" s="3" t="n">
        <v>3790.5</v>
      </c>
      <c r="M119" s="3" t="n">
        <v>3707.16</v>
      </c>
      <c r="N119" s="3" t="s">
        <v>339</v>
      </c>
      <c r="O119" s="3" t="s">
        <v>46</v>
      </c>
      <c r="P119" s="3" t="s">
        <v>52</v>
      </c>
      <c r="Q119" s="3" t="n">
        <f aca="false">L119-M119</f>
        <v>83.3400000000002</v>
      </c>
    </row>
    <row r="120" customFormat="false" ht="15" hidden="false" customHeight="false" outlineLevel="0" collapsed="false">
      <c r="A120" s="2" t="s">
        <v>340</v>
      </c>
      <c r="B120" s="2" t="s">
        <v>341</v>
      </c>
      <c r="C120" s="2" t="s">
        <v>161</v>
      </c>
      <c r="D120" s="2" t="s">
        <v>162</v>
      </c>
      <c r="E120" s="2" t="s">
        <v>57</v>
      </c>
      <c r="F120" s="2" t="s">
        <v>58</v>
      </c>
      <c r="G120" s="2" t="s">
        <v>59</v>
      </c>
      <c r="H120" s="2" t="s">
        <v>60</v>
      </c>
      <c r="I120" s="2" t="n">
        <v>52</v>
      </c>
      <c r="J120" s="2" t="n">
        <v>18</v>
      </c>
      <c r="K120" s="2" t="n">
        <v>15</v>
      </c>
      <c r="L120" s="2" t="n">
        <v>795.6</v>
      </c>
      <c r="M120" s="2" t="n">
        <v>898.46</v>
      </c>
      <c r="N120" s="2" t="s">
        <v>280</v>
      </c>
      <c r="O120" s="2" t="s">
        <v>37</v>
      </c>
      <c r="P120" s="2" t="s">
        <v>27</v>
      </c>
      <c r="Q120" s="3" t="n">
        <f aca="false">L120-M120</f>
        <v>-102.86</v>
      </c>
    </row>
    <row r="121" customFormat="false" ht="15" hidden="false" customHeight="false" outlineLevel="0" collapsed="false">
      <c r="A121" s="3" t="s">
        <v>342</v>
      </c>
      <c r="B121" s="3" t="s">
        <v>325</v>
      </c>
      <c r="C121" s="3" t="s">
        <v>55</v>
      </c>
      <c r="D121" s="3" t="s">
        <v>56</v>
      </c>
      <c r="E121" s="3" t="s">
        <v>57</v>
      </c>
      <c r="F121" s="3" t="s">
        <v>66</v>
      </c>
      <c r="G121" s="3" t="s">
        <v>67</v>
      </c>
      <c r="H121" s="3" t="s">
        <v>68</v>
      </c>
      <c r="I121" s="3" t="n">
        <v>39</v>
      </c>
      <c r="J121" s="3" t="n">
        <v>35</v>
      </c>
      <c r="K121" s="3" t="n">
        <v>5</v>
      </c>
      <c r="L121" s="3" t="n">
        <v>1296.75</v>
      </c>
      <c r="M121" s="3" t="n">
        <v>1234.19</v>
      </c>
      <c r="N121" s="3" t="s">
        <v>61</v>
      </c>
      <c r="O121" s="3" t="s">
        <v>46</v>
      </c>
      <c r="P121" s="3" t="s">
        <v>105</v>
      </c>
      <c r="Q121" s="3" t="n">
        <f aca="false">L121-M121</f>
        <v>62.5599999999999</v>
      </c>
    </row>
    <row r="122" customFormat="false" ht="15" hidden="false" customHeight="false" outlineLevel="0" collapsed="false">
      <c r="A122" s="2" t="s">
        <v>343</v>
      </c>
      <c r="B122" s="2" t="s">
        <v>48</v>
      </c>
      <c r="C122" s="2" t="s">
        <v>161</v>
      </c>
      <c r="D122" s="2" t="s">
        <v>162</v>
      </c>
      <c r="E122" s="2" t="s">
        <v>57</v>
      </c>
      <c r="F122" s="2" t="s">
        <v>43</v>
      </c>
      <c r="G122" s="2" t="s">
        <v>44</v>
      </c>
      <c r="H122" s="2" t="s">
        <v>35</v>
      </c>
      <c r="I122" s="2" t="n">
        <v>37</v>
      </c>
      <c r="J122" s="2" t="n">
        <v>85</v>
      </c>
      <c r="K122" s="2" t="n">
        <v>10</v>
      </c>
      <c r="L122" s="2" t="n">
        <v>2830.5</v>
      </c>
      <c r="M122" s="2" t="n">
        <v>2846.65</v>
      </c>
      <c r="N122" s="2" t="s">
        <v>187</v>
      </c>
      <c r="O122" s="2" t="s">
        <v>26</v>
      </c>
      <c r="P122" s="2" t="s">
        <v>37</v>
      </c>
      <c r="Q122" s="3" t="n">
        <f aca="false">L122-M122</f>
        <v>-16.1500000000001</v>
      </c>
    </row>
    <row r="123" customFormat="false" ht="15" hidden="false" customHeight="false" outlineLevel="0" collapsed="false">
      <c r="A123" s="3" t="s">
        <v>344</v>
      </c>
      <c r="B123" s="3" t="s">
        <v>345</v>
      </c>
      <c r="C123" s="3" t="s">
        <v>77</v>
      </c>
      <c r="D123" s="3" t="s">
        <v>78</v>
      </c>
      <c r="E123" s="3" t="s">
        <v>79</v>
      </c>
      <c r="F123" s="3" t="s">
        <v>72</v>
      </c>
      <c r="G123" s="3" t="s">
        <v>73</v>
      </c>
      <c r="H123" s="3" t="s">
        <v>74</v>
      </c>
      <c r="I123" s="3" t="n">
        <v>165</v>
      </c>
      <c r="J123" s="3" t="n">
        <v>55</v>
      </c>
      <c r="K123" s="3" t="n">
        <v>15</v>
      </c>
      <c r="L123" s="3" t="n">
        <v>7713.75</v>
      </c>
      <c r="M123" s="3" t="n">
        <v>8478.12</v>
      </c>
      <c r="N123" s="3" t="s">
        <v>51</v>
      </c>
      <c r="O123" s="3" t="s">
        <v>104</v>
      </c>
      <c r="P123" s="3" t="s">
        <v>105</v>
      </c>
      <c r="Q123" s="3" t="n">
        <f aca="false">L123-M123</f>
        <v>-764.370000000001</v>
      </c>
    </row>
    <row r="124" customFormat="false" ht="15" hidden="false" customHeight="false" outlineLevel="0" collapsed="false">
      <c r="A124" s="2" t="s">
        <v>346</v>
      </c>
      <c r="B124" s="2" t="s">
        <v>181</v>
      </c>
      <c r="C124" s="2" t="s">
        <v>83</v>
      </c>
      <c r="D124" s="2" t="s">
        <v>84</v>
      </c>
      <c r="E124" s="2" t="s">
        <v>21</v>
      </c>
      <c r="F124" s="2" t="s">
        <v>72</v>
      </c>
      <c r="G124" s="2" t="s">
        <v>73</v>
      </c>
      <c r="H124" s="2" t="s">
        <v>74</v>
      </c>
      <c r="I124" s="2" t="n">
        <v>98</v>
      </c>
      <c r="J124" s="2" t="n">
        <v>55</v>
      </c>
      <c r="K124" s="2" t="n">
        <v>10</v>
      </c>
      <c r="L124" s="2" t="n">
        <v>4851</v>
      </c>
      <c r="M124" s="2" t="n">
        <v>5815.73</v>
      </c>
      <c r="N124" s="2" t="s">
        <v>347</v>
      </c>
      <c r="O124" s="2" t="s">
        <v>104</v>
      </c>
      <c r="P124" s="2" t="s">
        <v>26</v>
      </c>
      <c r="Q124" s="3" t="n">
        <f aca="false">L124-M124</f>
        <v>-964.73</v>
      </c>
    </row>
    <row r="125" customFormat="false" ht="15" hidden="false" customHeight="false" outlineLevel="0" collapsed="false">
      <c r="A125" s="3" t="s">
        <v>348</v>
      </c>
      <c r="B125" s="3" t="s">
        <v>349</v>
      </c>
      <c r="C125" s="3" t="s">
        <v>64</v>
      </c>
      <c r="D125" s="3" t="s">
        <v>65</v>
      </c>
      <c r="E125" s="3" t="s">
        <v>32</v>
      </c>
      <c r="F125" s="3" t="s">
        <v>88</v>
      </c>
      <c r="G125" s="3" t="s">
        <v>89</v>
      </c>
      <c r="H125" s="3" t="s">
        <v>74</v>
      </c>
      <c r="I125" s="3" t="n">
        <v>179</v>
      </c>
      <c r="J125" s="3" t="n">
        <v>38</v>
      </c>
      <c r="K125" s="3" t="n">
        <v>0</v>
      </c>
      <c r="L125" s="3" t="n">
        <v>6802</v>
      </c>
      <c r="M125" s="3" t="n">
        <v>6215.61</v>
      </c>
      <c r="N125" s="3" t="s">
        <v>110</v>
      </c>
      <c r="O125" s="3" t="s">
        <v>52</v>
      </c>
      <c r="P125" s="3" t="s">
        <v>26</v>
      </c>
      <c r="Q125" s="3" t="n">
        <f aca="false">L125-M125</f>
        <v>586.39</v>
      </c>
    </row>
    <row r="126" customFormat="false" ht="15" hidden="false" customHeight="false" outlineLevel="0" collapsed="false">
      <c r="A126" s="2" t="s">
        <v>350</v>
      </c>
      <c r="B126" s="2" t="s">
        <v>97</v>
      </c>
      <c r="C126" s="2" t="s">
        <v>40</v>
      </c>
      <c r="D126" s="2" t="s">
        <v>41</v>
      </c>
      <c r="E126" s="2" t="s">
        <v>42</v>
      </c>
      <c r="F126" s="2" t="s">
        <v>58</v>
      </c>
      <c r="G126" s="2" t="s">
        <v>59</v>
      </c>
      <c r="H126" s="2" t="s">
        <v>60</v>
      </c>
      <c r="I126" s="2" t="n">
        <v>80</v>
      </c>
      <c r="J126" s="2" t="n">
        <v>18</v>
      </c>
      <c r="K126" s="2" t="n">
        <v>0</v>
      </c>
      <c r="L126" s="2" t="n">
        <v>1440</v>
      </c>
      <c r="M126" s="2" t="n">
        <v>1458.99</v>
      </c>
      <c r="N126" s="2" t="s">
        <v>25</v>
      </c>
      <c r="O126" s="2" t="s">
        <v>46</v>
      </c>
      <c r="P126" s="2" t="s">
        <v>27</v>
      </c>
      <c r="Q126" s="3" t="n">
        <f aca="false">L126-M126</f>
        <v>-18.99</v>
      </c>
    </row>
    <row r="127" customFormat="false" ht="15" hidden="false" customHeight="false" outlineLevel="0" collapsed="false">
      <c r="A127" s="3" t="s">
        <v>351</v>
      </c>
      <c r="B127" s="3" t="s">
        <v>352</v>
      </c>
      <c r="C127" s="3" t="s">
        <v>30</v>
      </c>
      <c r="D127" s="3" t="s">
        <v>31</v>
      </c>
      <c r="E127" s="3" t="s">
        <v>32</v>
      </c>
      <c r="F127" s="3" t="s">
        <v>66</v>
      </c>
      <c r="G127" s="3" t="s">
        <v>67</v>
      </c>
      <c r="H127" s="3" t="s">
        <v>68</v>
      </c>
      <c r="I127" s="3" t="n">
        <v>126</v>
      </c>
      <c r="J127" s="3" t="n">
        <v>35</v>
      </c>
      <c r="K127" s="3" t="n">
        <v>10</v>
      </c>
      <c r="L127" s="3" t="n">
        <v>3969</v>
      </c>
      <c r="M127" s="3" t="n">
        <v>4502.99</v>
      </c>
      <c r="N127" s="3" t="s">
        <v>353</v>
      </c>
      <c r="O127" s="3" t="s">
        <v>46</v>
      </c>
      <c r="P127" s="3" t="s">
        <v>27</v>
      </c>
      <c r="Q127" s="3" t="n">
        <f aca="false">L127-M127</f>
        <v>-533.99</v>
      </c>
    </row>
    <row r="128" customFormat="false" ht="15" hidden="false" customHeight="false" outlineLevel="0" collapsed="false">
      <c r="A128" s="2" t="s">
        <v>354</v>
      </c>
      <c r="B128" s="2" t="s">
        <v>355</v>
      </c>
      <c r="C128" s="2" t="s">
        <v>161</v>
      </c>
      <c r="D128" s="2" t="s">
        <v>162</v>
      </c>
      <c r="E128" s="2" t="s">
        <v>57</v>
      </c>
      <c r="F128" s="2" t="s">
        <v>58</v>
      </c>
      <c r="G128" s="2" t="s">
        <v>59</v>
      </c>
      <c r="H128" s="2" t="s">
        <v>60</v>
      </c>
      <c r="I128" s="2" t="n">
        <v>108</v>
      </c>
      <c r="J128" s="2" t="n">
        <v>18</v>
      </c>
      <c r="K128" s="2" t="n">
        <v>10</v>
      </c>
      <c r="L128" s="2" t="n">
        <v>1749.6</v>
      </c>
      <c r="M128" s="2" t="n">
        <v>1912.17</v>
      </c>
      <c r="N128" s="2" t="s">
        <v>133</v>
      </c>
      <c r="O128" s="2" t="s">
        <v>46</v>
      </c>
      <c r="P128" s="2" t="s">
        <v>26</v>
      </c>
      <c r="Q128" s="3" t="n">
        <f aca="false">L128-M128</f>
        <v>-162.57</v>
      </c>
    </row>
    <row r="129" customFormat="false" ht="15" hidden="false" customHeight="false" outlineLevel="0" collapsed="false">
      <c r="A129" s="3" t="s">
        <v>356</v>
      </c>
      <c r="B129" s="3" t="s">
        <v>357</v>
      </c>
      <c r="C129" s="3" t="s">
        <v>77</v>
      </c>
      <c r="D129" s="3" t="s">
        <v>78</v>
      </c>
      <c r="E129" s="3" t="s">
        <v>79</v>
      </c>
      <c r="F129" s="3" t="s">
        <v>66</v>
      </c>
      <c r="G129" s="3" t="s">
        <v>67</v>
      </c>
      <c r="H129" s="3" t="s">
        <v>68</v>
      </c>
      <c r="I129" s="3" t="n">
        <v>68</v>
      </c>
      <c r="J129" s="3" t="n">
        <v>35</v>
      </c>
      <c r="K129" s="3" t="n">
        <v>5</v>
      </c>
      <c r="L129" s="3" t="n">
        <v>2261</v>
      </c>
      <c r="M129" s="3" t="n">
        <v>2303.33</v>
      </c>
      <c r="N129" s="3" t="s">
        <v>147</v>
      </c>
      <c r="O129" s="3" t="s">
        <v>26</v>
      </c>
      <c r="P129" s="3" t="s">
        <v>52</v>
      </c>
      <c r="Q129" s="3" t="n">
        <f aca="false">L129-M129</f>
        <v>-42.3299999999999</v>
      </c>
    </row>
    <row r="130" customFormat="false" ht="15" hidden="false" customHeight="false" outlineLevel="0" collapsed="false">
      <c r="A130" s="2" t="s">
        <v>358</v>
      </c>
      <c r="B130" s="2" t="s">
        <v>238</v>
      </c>
      <c r="C130" s="2" t="s">
        <v>161</v>
      </c>
      <c r="D130" s="2" t="s">
        <v>162</v>
      </c>
      <c r="E130" s="2" t="s">
        <v>57</v>
      </c>
      <c r="F130" s="2" t="s">
        <v>43</v>
      </c>
      <c r="G130" s="2" t="s">
        <v>44</v>
      </c>
      <c r="H130" s="2" t="s">
        <v>35</v>
      </c>
      <c r="I130" s="2" t="n">
        <v>39</v>
      </c>
      <c r="J130" s="2" t="n">
        <v>85</v>
      </c>
      <c r="K130" s="2" t="n">
        <v>0</v>
      </c>
      <c r="L130" s="2" t="n">
        <v>3315</v>
      </c>
      <c r="M130" s="2" t="n">
        <v>3475.72</v>
      </c>
      <c r="N130" s="2" t="s">
        <v>304</v>
      </c>
      <c r="O130" s="2" t="s">
        <v>37</v>
      </c>
      <c r="P130" s="2" t="s">
        <v>26</v>
      </c>
      <c r="Q130" s="3" t="n">
        <f aca="false">L130-M130</f>
        <v>-160.72</v>
      </c>
    </row>
    <row r="131" customFormat="false" ht="15" hidden="false" customHeight="false" outlineLevel="0" collapsed="false">
      <c r="A131" s="3" t="s">
        <v>359</v>
      </c>
      <c r="B131" s="3" t="s">
        <v>360</v>
      </c>
      <c r="C131" s="3" t="s">
        <v>55</v>
      </c>
      <c r="D131" s="3" t="s">
        <v>56</v>
      </c>
      <c r="E131" s="3" t="s">
        <v>57</v>
      </c>
      <c r="F131" s="3" t="s">
        <v>22</v>
      </c>
      <c r="G131" s="3" t="s">
        <v>23</v>
      </c>
      <c r="H131" s="3" t="s">
        <v>24</v>
      </c>
      <c r="I131" s="3" t="n">
        <v>14</v>
      </c>
      <c r="J131" s="3" t="n">
        <v>32</v>
      </c>
      <c r="K131" s="3" t="n">
        <v>0</v>
      </c>
      <c r="L131" s="3" t="n">
        <v>448</v>
      </c>
      <c r="M131" s="3" t="n">
        <v>430.87</v>
      </c>
      <c r="N131" s="3" t="s">
        <v>95</v>
      </c>
      <c r="O131" s="3" t="s">
        <v>26</v>
      </c>
      <c r="P131" s="3" t="s">
        <v>26</v>
      </c>
      <c r="Q131" s="3" t="n">
        <f aca="false">L131-M131</f>
        <v>17.13</v>
      </c>
    </row>
    <row r="132" customFormat="false" ht="15" hidden="false" customHeight="false" outlineLevel="0" collapsed="false">
      <c r="A132" s="2" t="s">
        <v>361</v>
      </c>
      <c r="B132" s="2" t="s">
        <v>362</v>
      </c>
      <c r="C132" s="2" t="s">
        <v>19</v>
      </c>
      <c r="D132" s="2" t="s">
        <v>20</v>
      </c>
      <c r="E132" s="2" t="s">
        <v>21</v>
      </c>
      <c r="F132" s="2" t="s">
        <v>98</v>
      </c>
      <c r="G132" s="2" t="s">
        <v>99</v>
      </c>
      <c r="H132" s="2" t="s">
        <v>68</v>
      </c>
      <c r="I132" s="2" t="n">
        <v>163</v>
      </c>
      <c r="J132" s="2" t="n">
        <v>22</v>
      </c>
      <c r="K132" s="2" t="n">
        <v>0</v>
      </c>
      <c r="L132" s="2" t="n">
        <v>3586</v>
      </c>
      <c r="M132" s="2" t="n">
        <v>3865.29</v>
      </c>
      <c r="N132" s="2" t="s">
        <v>103</v>
      </c>
      <c r="O132" s="2" t="s">
        <v>46</v>
      </c>
      <c r="P132" s="2" t="s">
        <v>26</v>
      </c>
      <c r="Q132" s="3" t="n">
        <f aca="false">L132-M132</f>
        <v>-279.29</v>
      </c>
    </row>
    <row r="133" customFormat="false" ht="15" hidden="false" customHeight="false" outlineLevel="0" collapsed="false">
      <c r="A133" s="3" t="s">
        <v>363</v>
      </c>
      <c r="B133" s="3" t="s">
        <v>364</v>
      </c>
      <c r="C133" s="3" t="s">
        <v>77</v>
      </c>
      <c r="D133" s="3" t="s">
        <v>78</v>
      </c>
      <c r="E133" s="3" t="s">
        <v>79</v>
      </c>
      <c r="F133" s="3" t="s">
        <v>33</v>
      </c>
      <c r="G133" s="3" t="s">
        <v>34</v>
      </c>
      <c r="H133" s="3" t="s">
        <v>35</v>
      </c>
      <c r="I133" s="3" t="n">
        <v>178</v>
      </c>
      <c r="J133" s="3" t="n">
        <v>45</v>
      </c>
      <c r="K133" s="3" t="n">
        <v>0</v>
      </c>
      <c r="L133" s="3" t="n">
        <v>8010</v>
      </c>
      <c r="M133" s="3" t="n">
        <v>7847.34</v>
      </c>
      <c r="N133" s="3" t="s">
        <v>130</v>
      </c>
      <c r="O133" s="3" t="s">
        <v>37</v>
      </c>
      <c r="P133" s="3" t="s">
        <v>27</v>
      </c>
      <c r="Q133" s="3" t="n">
        <f aca="false">L133-M133</f>
        <v>162.66</v>
      </c>
    </row>
    <row r="134" customFormat="false" ht="15" hidden="false" customHeight="false" outlineLevel="0" collapsed="false">
      <c r="A134" s="2" t="s">
        <v>365</v>
      </c>
      <c r="B134" s="2" t="s">
        <v>366</v>
      </c>
      <c r="C134" s="2" t="s">
        <v>83</v>
      </c>
      <c r="D134" s="2" t="s">
        <v>84</v>
      </c>
      <c r="E134" s="2" t="s">
        <v>21</v>
      </c>
      <c r="F134" s="2" t="s">
        <v>88</v>
      </c>
      <c r="G134" s="2" t="s">
        <v>89</v>
      </c>
      <c r="H134" s="2" t="s">
        <v>74</v>
      </c>
      <c r="I134" s="2" t="n">
        <v>85</v>
      </c>
      <c r="J134" s="2" t="n">
        <v>38</v>
      </c>
      <c r="K134" s="2" t="n">
        <v>15</v>
      </c>
      <c r="L134" s="2" t="n">
        <v>2745.5</v>
      </c>
      <c r="M134" s="2" t="n">
        <v>3469.28</v>
      </c>
      <c r="N134" s="2" t="s">
        <v>36</v>
      </c>
      <c r="O134" s="2" t="s">
        <v>52</v>
      </c>
      <c r="P134" s="2" t="s">
        <v>52</v>
      </c>
      <c r="Q134" s="3" t="n">
        <f aca="false">L134-M134</f>
        <v>-723.78</v>
      </c>
    </row>
    <row r="135" customFormat="false" ht="15" hidden="false" customHeight="false" outlineLevel="0" collapsed="false">
      <c r="A135" s="3" t="s">
        <v>367</v>
      </c>
      <c r="B135" s="3" t="s">
        <v>368</v>
      </c>
      <c r="C135" s="3" t="s">
        <v>55</v>
      </c>
      <c r="D135" s="3" t="s">
        <v>56</v>
      </c>
      <c r="E135" s="3" t="s">
        <v>57</v>
      </c>
      <c r="F135" s="3" t="s">
        <v>88</v>
      </c>
      <c r="G135" s="3" t="s">
        <v>89</v>
      </c>
      <c r="H135" s="3" t="s">
        <v>74</v>
      </c>
      <c r="I135" s="3" t="n">
        <v>124</v>
      </c>
      <c r="J135" s="3" t="n">
        <v>38</v>
      </c>
      <c r="K135" s="3" t="n">
        <v>5</v>
      </c>
      <c r="L135" s="3" t="n">
        <v>4476.4</v>
      </c>
      <c r="M135" s="3" t="n">
        <v>4594.81</v>
      </c>
      <c r="N135" s="3" t="s">
        <v>25</v>
      </c>
      <c r="O135" s="3" t="s">
        <v>104</v>
      </c>
      <c r="P135" s="3" t="s">
        <v>37</v>
      </c>
      <c r="Q135" s="3" t="n">
        <f aca="false">L135-M135</f>
        <v>-118.410000000001</v>
      </c>
    </row>
    <row r="136" customFormat="false" ht="15" hidden="false" customHeight="false" outlineLevel="0" collapsed="false">
      <c r="A136" s="2" t="s">
        <v>369</v>
      </c>
      <c r="B136" s="2" t="s">
        <v>123</v>
      </c>
      <c r="C136" s="2" t="s">
        <v>77</v>
      </c>
      <c r="D136" s="2" t="s">
        <v>78</v>
      </c>
      <c r="E136" s="2" t="s">
        <v>79</v>
      </c>
      <c r="F136" s="2" t="s">
        <v>49</v>
      </c>
      <c r="G136" s="2" t="s">
        <v>50</v>
      </c>
      <c r="H136" s="2" t="s">
        <v>24</v>
      </c>
      <c r="I136" s="2" t="n">
        <v>22</v>
      </c>
      <c r="J136" s="2" t="n">
        <v>28</v>
      </c>
      <c r="K136" s="2" t="n">
        <v>0</v>
      </c>
      <c r="L136" s="2" t="n">
        <v>616</v>
      </c>
      <c r="M136" s="2" t="n">
        <v>584.41</v>
      </c>
      <c r="N136" s="2" t="s">
        <v>243</v>
      </c>
      <c r="O136" s="2" t="s">
        <v>104</v>
      </c>
      <c r="P136" s="2" t="s">
        <v>37</v>
      </c>
      <c r="Q136" s="3" t="n">
        <f aca="false">L136-M136</f>
        <v>31.59</v>
      </c>
    </row>
    <row r="137" customFormat="false" ht="15" hidden="false" customHeight="false" outlineLevel="0" collapsed="false">
      <c r="A137" s="3" t="s">
        <v>370</v>
      </c>
      <c r="B137" s="3" t="s">
        <v>371</v>
      </c>
      <c r="C137" s="3" t="s">
        <v>64</v>
      </c>
      <c r="D137" s="3" t="s">
        <v>65</v>
      </c>
      <c r="E137" s="3" t="s">
        <v>32</v>
      </c>
      <c r="F137" s="3" t="s">
        <v>43</v>
      </c>
      <c r="G137" s="3" t="s">
        <v>44</v>
      </c>
      <c r="H137" s="3" t="s">
        <v>35</v>
      </c>
      <c r="I137" s="3" t="n">
        <v>131</v>
      </c>
      <c r="J137" s="3" t="n">
        <v>85</v>
      </c>
      <c r="K137" s="3" t="n">
        <v>10</v>
      </c>
      <c r="L137" s="3" t="n">
        <v>10021.5</v>
      </c>
      <c r="M137" s="3" t="n">
        <v>11039.21</v>
      </c>
      <c r="N137" s="3" t="s">
        <v>260</v>
      </c>
      <c r="O137" s="3" t="s">
        <v>104</v>
      </c>
      <c r="P137" s="3" t="s">
        <v>37</v>
      </c>
      <c r="Q137" s="3" t="n">
        <f aca="false">L137-M137</f>
        <v>-1017.71</v>
      </c>
    </row>
    <row r="138" customFormat="false" ht="15" hidden="false" customHeight="false" outlineLevel="0" collapsed="false">
      <c r="A138" s="2" t="s">
        <v>372</v>
      </c>
      <c r="B138" s="2" t="s">
        <v>154</v>
      </c>
      <c r="C138" s="2" t="s">
        <v>83</v>
      </c>
      <c r="D138" s="2" t="s">
        <v>84</v>
      </c>
      <c r="E138" s="2" t="s">
        <v>21</v>
      </c>
      <c r="F138" s="2" t="s">
        <v>58</v>
      </c>
      <c r="G138" s="2" t="s">
        <v>59</v>
      </c>
      <c r="H138" s="2" t="s">
        <v>60</v>
      </c>
      <c r="I138" s="2" t="n">
        <v>125</v>
      </c>
      <c r="J138" s="2" t="n">
        <v>18</v>
      </c>
      <c r="K138" s="2" t="n">
        <v>15</v>
      </c>
      <c r="L138" s="2" t="n">
        <v>1912.5</v>
      </c>
      <c r="M138" s="2" t="n">
        <v>2292.22</v>
      </c>
      <c r="N138" s="2" t="s">
        <v>190</v>
      </c>
      <c r="O138" s="2" t="s">
        <v>104</v>
      </c>
      <c r="P138" s="2" t="s">
        <v>27</v>
      </c>
      <c r="Q138" s="3" t="n">
        <f aca="false">L138-M138</f>
        <v>-379.72</v>
      </c>
    </row>
    <row r="139" customFormat="false" ht="15" hidden="false" customHeight="false" outlineLevel="0" collapsed="false">
      <c r="A139" s="3" t="s">
        <v>373</v>
      </c>
      <c r="B139" s="3" t="s">
        <v>374</v>
      </c>
      <c r="C139" s="3" t="s">
        <v>161</v>
      </c>
      <c r="D139" s="3" t="s">
        <v>162</v>
      </c>
      <c r="E139" s="3" t="s">
        <v>57</v>
      </c>
      <c r="F139" s="3" t="s">
        <v>88</v>
      </c>
      <c r="G139" s="3" t="s">
        <v>89</v>
      </c>
      <c r="H139" s="3" t="s">
        <v>74</v>
      </c>
      <c r="I139" s="3" t="n">
        <v>174</v>
      </c>
      <c r="J139" s="3" t="n">
        <v>38</v>
      </c>
      <c r="K139" s="3" t="n">
        <v>0</v>
      </c>
      <c r="L139" s="3" t="n">
        <v>6612</v>
      </c>
      <c r="M139" s="3" t="n">
        <v>7026.16</v>
      </c>
      <c r="N139" s="3" t="s">
        <v>253</v>
      </c>
      <c r="O139" s="3" t="s">
        <v>52</v>
      </c>
      <c r="P139" s="3" t="s">
        <v>37</v>
      </c>
      <c r="Q139" s="3" t="n">
        <f aca="false">L139-M139</f>
        <v>-414.16</v>
      </c>
    </row>
    <row r="140" customFormat="false" ht="15" hidden="false" customHeight="false" outlineLevel="0" collapsed="false">
      <c r="A140" s="2" t="s">
        <v>375</v>
      </c>
      <c r="B140" s="2" t="s">
        <v>112</v>
      </c>
      <c r="C140" s="2" t="s">
        <v>40</v>
      </c>
      <c r="D140" s="2" t="s">
        <v>41</v>
      </c>
      <c r="E140" s="2" t="s">
        <v>42</v>
      </c>
      <c r="F140" s="2" t="s">
        <v>58</v>
      </c>
      <c r="G140" s="2" t="s">
        <v>59</v>
      </c>
      <c r="H140" s="2" t="s">
        <v>60</v>
      </c>
      <c r="I140" s="2" t="n">
        <v>75</v>
      </c>
      <c r="J140" s="2" t="n">
        <v>18</v>
      </c>
      <c r="K140" s="2" t="n">
        <v>0</v>
      </c>
      <c r="L140" s="2" t="n">
        <v>1350</v>
      </c>
      <c r="M140" s="2" t="n">
        <v>1416.37</v>
      </c>
      <c r="N140" s="2" t="s">
        <v>173</v>
      </c>
      <c r="O140" s="2" t="s">
        <v>52</v>
      </c>
      <c r="P140" s="2" t="s">
        <v>27</v>
      </c>
      <c r="Q140" s="3" t="n">
        <f aca="false">L140-M140</f>
        <v>-66.3699999999999</v>
      </c>
    </row>
    <row r="141" customFormat="false" ht="15" hidden="false" customHeight="false" outlineLevel="0" collapsed="false">
      <c r="A141" s="3" t="s">
        <v>376</v>
      </c>
      <c r="B141" s="3" t="s">
        <v>377</v>
      </c>
      <c r="C141" s="3" t="s">
        <v>19</v>
      </c>
      <c r="D141" s="3" t="s">
        <v>20</v>
      </c>
      <c r="E141" s="3" t="s">
        <v>21</v>
      </c>
      <c r="F141" s="3" t="s">
        <v>72</v>
      </c>
      <c r="G141" s="3" t="s">
        <v>73</v>
      </c>
      <c r="H141" s="3" t="s">
        <v>74</v>
      </c>
      <c r="I141" s="3" t="n">
        <v>116</v>
      </c>
      <c r="J141" s="3" t="n">
        <v>55</v>
      </c>
      <c r="K141" s="3" t="n">
        <v>0</v>
      </c>
      <c r="L141" s="3" t="n">
        <v>6380</v>
      </c>
      <c r="M141" s="3" t="n">
        <v>6247.88</v>
      </c>
      <c r="N141" s="3" t="s">
        <v>100</v>
      </c>
      <c r="O141" s="3" t="s">
        <v>26</v>
      </c>
      <c r="P141" s="3" t="s">
        <v>105</v>
      </c>
      <c r="Q141" s="3" t="n">
        <f aca="false">L141-M141</f>
        <v>132.12</v>
      </c>
    </row>
    <row r="142" customFormat="false" ht="15" hidden="false" customHeight="false" outlineLevel="0" collapsed="false">
      <c r="A142" s="2" t="s">
        <v>378</v>
      </c>
      <c r="B142" s="2" t="s">
        <v>146</v>
      </c>
      <c r="C142" s="2" t="s">
        <v>30</v>
      </c>
      <c r="D142" s="2" t="s">
        <v>31</v>
      </c>
      <c r="E142" s="2" t="s">
        <v>32</v>
      </c>
      <c r="F142" s="2" t="s">
        <v>72</v>
      </c>
      <c r="G142" s="2" t="s">
        <v>73</v>
      </c>
      <c r="H142" s="2" t="s">
        <v>74</v>
      </c>
      <c r="I142" s="2" t="n">
        <v>45</v>
      </c>
      <c r="J142" s="2" t="n">
        <v>55</v>
      </c>
      <c r="K142" s="2" t="n">
        <v>0</v>
      </c>
      <c r="L142" s="2" t="n">
        <v>2475</v>
      </c>
      <c r="M142" s="2" t="n">
        <v>2341.97</v>
      </c>
      <c r="N142" s="2" t="s">
        <v>379</v>
      </c>
      <c r="O142" s="2" t="s">
        <v>104</v>
      </c>
      <c r="P142" s="2" t="s">
        <v>105</v>
      </c>
      <c r="Q142" s="3" t="n">
        <f aca="false">L142-M142</f>
        <v>133.03</v>
      </c>
    </row>
    <row r="143" customFormat="false" ht="15" hidden="false" customHeight="false" outlineLevel="0" collapsed="false">
      <c r="A143" s="3" t="s">
        <v>380</v>
      </c>
      <c r="B143" s="3" t="s">
        <v>129</v>
      </c>
      <c r="C143" s="3" t="s">
        <v>19</v>
      </c>
      <c r="D143" s="3" t="s">
        <v>20</v>
      </c>
      <c r="E143" s="3" t="s">
        <v>21</v>
      </c>
      <c r="F143" s="3" t="s">
        <v>22</v>
      </c>
      <c r="G143" s="3" t="s">
        <v>23</v>
      </c>
      <c r="H143" s="3" t="s">
        <v>24</v>
      </c>
      <c r="I143" s="3" t="n">
        <v>169</v>
      </c>
      <c r="J143" s="3" t="n">
        <v>32</v>
      </c>
      <c r="K143" s="3" t="n">
        <v>15</v>
      </c>
      <c r="L143" s="3" t="n">
        <v>4596.8</v>
      </c>
      <c r="M143" s="3" t="n">
        <v>5528.1</v>
      </c>
      <c r="N143" s="3" t="s">
        <v>243</v>
      </c>
      <c r="O143" s="3" t="s">
        <v>26</v>
      </c>
      <c r="P143" s="3" t="s">
        <v>27</v>
      </c>
      <c r="Q143" s="3" t="n">
        <f aca="false">L143-M143</f>
        <v>-931.3</v>
      </c>
    </row>
    <row r="144" customFormat="false" ht="15" hidden="false" customHeight="false" outlineLevel="0" collapsed="false">
      <c r="A144" s="2" t="s">
        <v>381</v>
      </c>
      <c r="B144" s="2" t="s">
        <v>382</v>
      </c>
      <c r="C144" s="2" t="s">
        <v>64</v>
      </c>
      <c r="D144" s="2" t="s">
        <v>65</v>
      </c>
      <c r="E144" s="2" t="s">
        <v>32</v>
      </c>
      <c r="F144" s="2" t="s">
        <v>88</v>
      </c>
      <c r="G144" s="2" t="s">
        <v>89</v>
      </c>
      <c r="H144" s="2" t="s">
        <v>74</v>
      </c>
      <c r="I144" s="2" t="n">
        <v>63</v>
      </c>
      <c r="J144" s="2" t="n">
        <v>38</v>
      </c>
      <c r="K144" s="2" t="n">
        <v>5</v>
      </c>
      <c r="L144" s="2" t="n">
        <v>2274.3</v>
      </c>
      <c r="M144" s="2" t="n">
        <v>2530.82</v>
      </c>
      <c r="N144" s="2" t="s">
        <v>260</v>
      </c>
      <c r="O144" s="2" t="s">
        <v>26</v>
      </c>
      <c r="P144" s="2" t="s">
        <v>26</v>
      </c>
      <c r="Q144" s="3" t="n">
        <f aca="false">L144-M144</f>
        <v>-256.52</v>
      </c>
    </row>
    <row r="145" customFormat="false" ht="15" hidden="false" customHeight="false" outlineLevel="0" collapsed="false">
      <c r="A145" s="3" t="s">
        <v>383</v>
      </c>
      <c r="B145" s="3" t="s">
        <v>318</v>
      </c>
      <c r="C145" s="3" t="s">
        <v>30</v>
      </c>
      <c r="D145" s="3" t="s">
        <v>31</v>
      </c>
      <c r="E145" s="3" t="s">
        <v>32</v>
      </c>
      <c r="F145" s="3" t="s">
        <v>49</v>
      </c>
      <c r="G145" s="3" t="s">
        <v>50</v>
      </c>
      <c r="H145" s="3" t="s">
        <v>24</v>
      </c>
      <c r="I145" s="3" t="n">
        <v>120</v>
      </c>
      <c r="J145" s="3" t="n">
        <v>28</v>
      </c>
      <c r="K145" s="3" t="n">
        <v>0</v>
      </c>
      <c r="L145" s="3" t="n">
        <v>3360</v>
      </c>
      <c r="M145" s="3" t="n">
        <v>3052.11</v>
      </c>
      <c r="N145" s="3" t="s">
        <v>100</v>
      </c>
      <c r="O145" s="3" t="s">
        <v>37</v>
      </c>
      <c r="P145" s="3" t="s">
        <v>27</v>
      </c>
      <c r="Q145" s="3" t="n">
        <f aca="false">L145-M145</f>
        <v>307.89</v>
      </c>
    </row>
    <row r="146" customFormat="false" ht="15" hidden="false" customHeight="false" outlineLevel="0" collapsed="false">
      <c r="A146" s="2" t="s">
        <v>384</v>
      </c>
      <c r="B146" s="2" t="s">
        <v>385</v>
      </c>
      <c r="C146" s="2" t="s">
        <v>77</v>
      </c>
      <c r="D146" s="2" t="s">
        <v>78</v>
      </c>
      <c r="E146" s="2" t="s">
        <v>79</v>
      </c>
      <c r="F146" s="2" t="s">
        <v>66</v>
      </c>
      <c r="G146" s="2" t="s">
        <v>67</v>
      </c>
      <c r="H146" s="2" t="s">
        <v>68</v>
      </c>
      <c r="I146" s="2" t="n">
        <v>124</v>
      </c>
      <c r="J146" s="2" t="n">
        <v>35</v>
      </c>
      <c r="K146" s="2" t="n">
        <v>0</v>
      </c>
      <c r="L146" s="2" t="n">
        <v>4340</v>
      </c>
      <c r="M146" s="2" t="n">
        <v>3986.77</v>
      </c>
      <c r="N146" s="2" t="s">
        <v>202</v>
      </c>
      <c r="O146" s="2" t="s">
        <v>104</v>
      </c>
      <c r="P146" s="2" t="s">
        <v>52</v>
      </c>
      <c r="Q146" s="3" t="n">
        <f aca="false">L146-M146</f>
        <v>353.23</v>
      </c>
    </row>
    <row r="147" customFormat="false" ht="15" hidden="false" customHeight="false" outlineLevel="0" collapsed="false">
      <c r="A147" s="3" t="s">
        <v>386</v>
      </c>
      <c r="B147" s="3" t="s">
        <v>387</v>
      </c>
      <c r="C147" s="3" t="s">
        <v>77</v>
      </c>
      <c r="D147" s="3" t="s">
        <v>78</v>
      </c>
      <c r="E147" s="3" t="s">
        <v>79</v>
      </c>
      <c r="F147" s="3" t="s">
        <v>66</v>
      </c>
      <c r="G147" s="3" t="s">
        <v>67</v>
      </c>
      <c r="H147" s="3" t="s">
        <v>68</v>
      </c>
      <c r="I147" s="3" t="n">
        <v>198</v>
      </c>
      <c r="J147" s="3" t="n">
        <v>35</v>
      </c>
      <c r="K147" s="3" t="n">
        <v>15</v>
      </c>
      <c r="L147" s="3" t="n">
        <v>5890.5</v>
      </c>
      <c r="M147" s="3" t="n">
        <v>6323.32</v>
      </c>
      <c r="N147" s="3" t="s">
        <v>243</v>
      </c>
      <c r="O147" s="3" t="s">
        <v>104</v>
      </c>
      <c r="P147" s="3" t="s">
        <v>37</v>
      </c>
      <c r="Q147" s="3" t="n">
        <f aca="false">L147-M147</f>
        <v>-432.82</v>
      </c>
    </row>
    <row r="148" customFormat="false" ht="15" hidden="false" customHeight="false" outlineLevel="0" collapsed="false">
      <c r="A148" s="2" t="s">
        <v>388</v>
      </c>
      <c r="B148" s="2" t="s">
        <v>389</v>
      </c>
      <c r="C148" s="2" t="s">
        <v>161</v>
      </c>
      <c r="D148" s="2" t="s">
        <v>162</v>
      </c>
      <c r="E148" s="2" t="s">
        <v>57</v>
      </c>
      <c r="F148" s="2" t="s">
        <v>58</v>
      </c>
      <c r="G148" s="2" t="s">
        <v>59</v>
      </c>
      <c r="H148" s="2" t="s">
        <v>60</v>
      </c>
      <c r="I148" s="2" t="n">
        <v>65</v>
      </c>
      <c r="J148" s="2" t="n">
        <v>18</v>
      </c>
      <c r="K148" s="2" t="n">
        <v>0</v>
      </c>
      <c r="L148" s="2" t="n">
        <v>1170</v>
      </c>
      <c r="M148" s="2" t="n">
        <v>1181.42</v>
      </c>
      <c r="N148" s="2" t="s">
        <v>51</v>
      </c>
      <c r="O148" s="2" t="s">
        <v>46</v>
      </c>
      <c r="P148" s="2" t="s">
        <v>37</v>
      </c>
      <c r="Q148" s="3" t="n">
        <f aca="false">L148-M148</f>
        <v>-11.4200000000001</v>
      </c>
    </row>
    <row r="149" customFormat="false" ht="15" hidden="false" customHeight="false" outlineLevel="0" collapsed="false">
      <c r="A149" s="3" t="s">
        <v>390</v>
      </c>
      <c r="B149" s="3" t="s">
        <v>391</v>
      </c>
      <c r="C149" s="3" t="s">
        <v>55</v>
      </c>
      <c r="D149" s="3" t="s">
        <v>56</v>
      </c>
      <c r="E149" s="3" t="s">
        <v>57</v>
      </c>
      <c r="F149" s="3" t="s">
        <v>49</v>
      </c>
      <c r="G149" s="3" t="s">
        <v>50</v>
      </c>
      <c r="H149" s="3" t="s">
        <v>24</v>
      </c>
      <c r="I149" s="3" t="n">
        <v>71</v>
      </c>
      <c r="J149" s="3" t="n">
        <v>28</v>
      </c>
      <c r="K149" s="3" t="n">
        <v>0</v>
      </c>
      <c r="L149" s="3" t="n">
        <v>1988</v>
      </c>
      <c r="M149" s="3" t="n">
        <v>1815.95</v>
      </c>
      <c r="N149" s="3" t="s">
        <v>260</v>
      </c>
      <c r="O149" s="3" t="s">
        <v>26</v>
      </c>
      <c r="P149" s="3" t="s">
        <v>27</v>
      </c>
      <c r="Q149" s="3" t="n">
        <f aca="false">L149-M149</f>
        <v>172.05</v>
      </c>
    </row>
    <row r="150" customFormat="false" ht="15" hidden="false" customHeight="false" outlineLevel="0" collapsed="false">
      <c r="A150" s="2" t="s">
        <v>392</v>
      </c>
      <c r="B150" s="2" t="s">
        <v>393</v>
      </c>
      <c r="C150" s="2" t="s">
        <v>40</v>
      </c>
      <c r="D150" s="2" t="s">
        <v>41</v>
      </c>
      <c r="E150" s="2" t="s">
        <v>42</v>
      </c>
      <c r="F150" s="2" t="s">
        <v>58</v>
      </c>
      <c r="G150" s="2" t="s">
        <v>59</v>
      </c>
      <c r="H150" s="2" t="s">
        <v>60</v>
      </c>
      <c r="I150" s="2" t="n">
        <v>147</v>
      </c>
      <c r="J150" s="2" t="n">
        <v>18</v>
      </c>
      <c r="K150" s="2" t="n">
        <v>0</v>
      </c>
      <c r="L150" s="2" t="n">
        <v>2646</v>
      </c>
      <c r="M150" s="2" t="n">
        <v>2896.37</v>
      </c>
      <c r="N150" s="2" t="s">
        <v>273</v>
      </c>
      <c r="O150" s="2" t="s">
        <v>46</v>
      </c>
      <c r="P150" s="2" t="s">
        <v>27</v>
      </c>
      <c r="Q150" s="3" t="n">
        <f aca="false">L150-M150</f>
        <v>-250.37</v>
      </c>
    </row>
    <row r="151" customFormat="false" ht="15" hidden="false" customHeight="false" outlineLevel="0" collapsed="false">
      <c r="A151" s="3" t="s">
        <v>394</v>
      </c>
      <c r="B151" s="3" t="s">
        <v>395</v>
      </c>
      <c r="C151" s="3" t="s">
        <v>64</v>
      </c>
      <c r="D151" s="3" t="s">
        <v>65</v>
      </c>
      <c r="E151" s="3" t="s">
        <v>32</v>
      </c>
      <c r="F151" s="3" t="s">
        <v>58</v>
      </c>
      <c r="G151" s="3" t="s">
        <v>59</v>
      </c>
      <c r="H151" s="3" t="s">
        <v>60</v>
      </c>
      <c r="I151" s="3" t="n">
        <v>80</v>
      </c>
      <c r="J151" s="3" t="n">
        <v>18</v>
      </c>
      <c r="K151" s="3" t="n">
        <v>0</v>
      </c>
      <c r="L151" s="3" t="n">
        <v>1440</v>
      </c>
      <c r="M151" s="3" t="n">
        <v>1297.02</v>
      </c>
      <c r="N151" s="3" t="s">
        <v>80</v>
      </c>
      <c r="O151" s="3" t="s">
        <v>37</v>
      </c>
      <c r="P151" s="3" t="s">
        <v>105</v>
      </c>
      <c r="Q151" s="3" t="n">
        <f aca="false">L151-M151</f>
        <v>142.98</v>
      </c>
    </row>
    <row r="152" customFormat="false" ht="15" hidden="false" customHeight="false" outlineLevel="0" collapsed="false">
      <c r="A152" s="2" t="s">
        <v>396</v>
      </c>
      <c r="B152" s="2" t="s">
        <v>186</v>
      </c>
      <c r="C152" s="2" t="s">
        <v>19</v>
      </c>
      <c r="D152" s="2" t="s">
        <v>20</v>
      </c>
      <c r="E152" s="2" t="s">
        <v>21</v>
      </c>
      <c r="F152" s="2" t="s">
        <v>22</v>
      </c>
      <c r="G152" s="2" t="s">
        <v>23</v>
      </c>
      <c r="H152" s="2" t="s">
        <v>24</v>
      </c>
      <c r="I152" s="2" t="n">
        <v>150</v>
      </c>
      <c r="J152" s="2" t="n">
        <v>32</v>
      </c>
      <c r="K152" s="2" t="n">
        <v>5</v>
      </c>
      <c r="L152" s="2" t="n">
        <v>4560</v>
      </c>
      <c r="M152" s="2" t="n">
        <v>5181.32</v>
      </c>
      <c r="N152" s="2" t="s">
        <v>103</v>
      </c>
      <c r="O152" s="2" t="s">
        <v>26</v>
      </c>
      <c r="P152" s="2" t="s">
        <v>52</v>
      </c>
      <c r="Q152" s="3" t="n">
        <f aca="false">L152-M152</f>
        <v>-621.32</v>
      </c>
    </row>
    <row r="153" customFormat="false" ht="15" hidden="false" customHeight="false" outlineLevel="0" collapsed="false">
      <c r="A153" s="3" t="s">
        <v>397</v>
      </c>
      <c r="B153" s="3" t="s">
        <v>398</v>
      </c>
      <c r="C153" s="3" t="s">
        <v>161</v>
      </c>
      <c r="D153" s="3" t="s">
        <v>162</v>
      </c>
      <c r="E153" s="3" t="s">
        <v>57</v>
      </c>
      <c r="F153" s="3" t="s">
        <v>88</v>
      </c>
      <c r="G153" s="3" t="s">
        <v>89</v>
      </c>
      <c r="H153" s="3" t="s">
        <v>74</v>
      </c>
      <c r="I153" s="3" t="n">
        <v>144</v>
      </c>
      <c r="J153" s="3" t="n">
        <v>38</v>
      </c>
      <c r="K153" s="3" t="n">
        <v>15</v>
      </c>
      <c r="L153" s="3" t="n">
        <v>4651.2</v>
      </c>
      <c r="M153" s="3" t="n">
        <v>5262.33</v>
      </c>
      <c r="N153" s="3" t="s">
        <v>202</v>
      </c>
      <c r="O153" s="3" t="s">
        <v>46</v>
      </c>
      <c r="P153" s="3" t="s">
        <v>52</v>
      </c>
      <c r="Q153" s="3" t="n">
        <f aca="false">L153-M153</f>
        <v>-611.13</v>
      </c>
    </row>
    <row r="154" customFormat="false" ht="15" hidden="false" customHeight="false" outlineLevel="0" collapsed="false">
      <c r="A154" s="2" t="s">
        <v>399</v>
      </c>
      <c r="B154" s="2" t="s">
        <v>400</v>
      </c>
      <c r="C154" s="2" t="s">
        <v>55</v>
      </c>
      <c r="D154" s="2" t="s">
        <v>56</v>
      </c>
      <c r="E154" s="2" t="s">
        <v>57</v>
      </c>
      <c r="F154" s="2" t="s">
        <v>22</v>
      </c>
      <c r="G154" s="2" t="s">
        <v>23</v>
      </c>
      <c r="H154" s="2" t="s">
        <v>24</v>
      </c>
      <c r="I154" s="2" t="n">
        <v>102</v>
      </c>
      <c r="J154" s="2" t="n">
        <v>32</v>
      </c>
      <c r="K154" s="2" t="n">
        <v>0</v>
      </c>
      <c r="L154" s="2" t="n">
        <v>3264</v>
      </c>
      <c r="M154" s="2" t="n">
        <v>3588.65</v>
      </c>
      <c r="N154" s="2" t="s">
        <v>243</v>
      </c>
      <c r="O154" s="2" t="s">
        <v>26</v>
      </c>
      <c r="P154" s="2" t="s">
        <v>37</v>
      </c>
      <c r="Q154" s="3" t="n">
        <f aca="false">L154-M154</f>
        <v>-324.65</v>
      </c>
    </row>
    <row r="155" customFormat="false" ht="15" hidden="false" customHeight="false" outlineLevel="0" collapsed="false">
      <c r="A155" s="3" t="s">
        <v>401</v>
      </c>
      <c r="B155" s="3" t="s">
        <v>402</v>
      </c>
      <c r="C155" s="3" t="s">
        <v>19</v>
      </c>
      <c r="D155" s="3" t="s">
        <v>20</v>
      </c>
      <c r="E155" s="3" t="s">
        <v>21</v>
      </c>
      <c r="F155" s="3" t="s">
        <v>98</v>
      </c>
      <c r="G155" s="3" t="s">
        <v>99</v>
      </c>
      <c r="H155" s="3" t="s">
        <v>68</v>
      </c>
      <c r="I155" s="3" t="n">
        <v>83</v>
      </c>
      <c r="J155" s="3" t="n">
        <v>22</v>
      </c>
      <c r="K155" s="3" t="n">
        <v>0</v>
      </c>
      <c r="L155" s="3" t="n">
        <v>1826</v>
      </c>
      <c r="M155" s="3" t="n">
        <v>1747.63</v>
      </c>
      <c r="N155" s="3" t="s">
        <v>119</v>
      </c>
      <c r="O155" s="3" t="s">
        <v>46</v>
      </c>
      <c r="P155" s="3" t="s">
        <v>27</v>
      </c>
      <c r="Q155" s="3" t="n">
        <f aca="false">L155-M155</f>
        <v>78.3699999999999</v>
      </c>
    </row>
    <row r="156" customFormat="false" ht="15" hidden="false" customHeight="false" outlineLevel="0" collapsed="false">
      <c r="A156" s="2" t="s">
        <v>403</v>
      </c>
      <c r="B156" s="2" t="s">
        <v>404</v>
      </c>
      <c r="C156" s="2" t="s">
        <v>64</v>
      </c>
      <c r="D156" s="2" t="s">
        <v>65</v>
      </c>
      <c r="E156" s="2" t="s">
        <v>32</v>
      </c>
      <c r="F156" s="2" t="s">
        <v>58</v>
      </c>
      <c r="G156" s="2" t="s">
        <v>59</v>
      </c>
      <c r="H156" s="2" t="s">
        <v>60</v>
      </c>
      <c r="I156" s="2" t="n">
        <v>188</v>
      </c>
      <c r="J156" s="2" t="n">
        <v>18</v>
      </c>
      <c r="K156" s="2" t="n">
        <v>0</v>
      </c>
      <c r="L156" s="2" t="n">
        <v>3384</v>
      </c>
      <c r="M156" s="2" t="n">
        <v>3477.31</v>
      </c>
      <c r="N156" s="2" t="s">
        <v>329</v>
      </c>
      <c r="O156" s="2" t="s">
        <v>52</v>
      </c>
      <c r="P156" s="2" t="s">
        <v>52</v>
      </c>
      <c r="Q156" s="3" t="n">
        <f aca="false">L156-M156</f>
        <v>-93.31</v>
      </c>
    </row>
    <row r="157" customFormat="false" ht="15" hidden="false" customHeight="false" outlineLevel="0" collapsed="false">
      <c r="A157" s="3" t="s">
        <v>405</v>
      </c>
      <c r="B157" s="3" t="s">
        <v>406</v>
      </c>
      <c r="C157" s="3" t="s">
        <v>40</v>
      </c>
      <c r="D157" s="3" t="s">
        <v>41</v>
      </c>
      <c r="E157" s="3" t="s">
        <v>42</v>
      </c>
      <c r="F157" s="3" t="s">
        <v>98</v>
      </c>
      <c r="G157" s="3" t="s">
        <v>99</v>
      </c>
      <c r="H157" s="3" t="s">
        <v>68</v>
      </c>
      <c r="I157" s="3" t="n">
        <v>61</v>
      </c>
      <c r="J157" s="3" t="n">
        <v>22</v>
      </c>
      <c r="K157" s="3" t="n">
        <v>10</v>
      </c>
      <c r="L157" s="3" t="n">
        <v>1207.8</v>
      </c>
      <c r="M157" s="3" t="n">
        <v>1280.57</v>
      </c>
      <c r="N157" s="3" t="s">
        <v>141</v>
      </c>
      <c r="O157" s="3" t="s">
        <v>104</v>
      </c>
      <c r="P157" s="3" t="s">
        <v>26</v>
      </c>
      <c r="Q157" s="3" t="n">
        <f aca="false">L157-M157</f>
        <v>-72.77</v>
      </c>
    </row>
    <row r="158" customFormat="false" ht="15" hidden="false" customHeight="false" outlineLevel="0" collapsed="false">
      <c r="A158" s="2" t="s">
        <v>407</v>
      </c>
      <c r="B158" s="2" t="s">
        <v>289</v>
      </c>
      <c r="C158" s="2" t="s">
        <v>64</v>
      </c>
      <c r="D158" s="2" t="s">
        <v>65</v>
      </c>
      <c r="E158" s="2" t="s">
        <v>32</v>
      </c>
      <c r="F158" s="2" t="s">
        <v>22</v>
      </c>
      <c r="G158" s="2" t="s">
        <v>23</v>
      </c>
      <c r="H158" s="2" t="s">
        <v>24</v>
      </c>
      <c r="I158" s="2" t="n">
        <v>71</v>
      </c>
      <c r="J158" s="2" t="n">
        <v>32</v>
      </c>
      <c r="K158" s="2" t="n">
        <v>10</v>
      </c>
      <c r="L158" s="2" t="n">
        <v>2044.8</v>
      </c>
      <c r="M158" s="2" t="n">
        <v>2234.09</v>
      </c>
      <c r="N158" s="2" t="s">
        <v>253</v>
      </c>
      <c r="O158" s="2" t="s">
        <v>46</v>
      </c>
      <c r="P158" s="2" t="s">
        <v>27</v>
      </c>
      <c r="Q158" s="3" t="n">
        <f aca="false">L158-M158</f>
        <v>-189.29</v>
      </c>
    </row>
    <row r="159" customFormat="false" ht="15" hidden="false" customHeight="false" outlineLevel="0" collapsed="false">
      <c r="A159" s="3" t="s">
        <v>408</v>
      </c>
      <c r="B159" s="3" t="s">
        <v>299</v>
      </c>
      <c r="C159" s="3" t="s">
        <v>64</v>
      </c>
      <c r="D159" s="3" t="s">
        <v>65</v>
      </c>
      <c r="E159" s="3" t="s">
        <v>32</v>
      </c>
      <c r="F159" s="3" t="s">
        <v>33</v>
      </c>
      <c r="G159" s="3" t="s">
        <v>34</v>
      </c>
      <c r="H159" s="3" t="s">
        <v>35</v>
      </c>
      <c r="I159" s="3" t="n">
        <v>112</v>
      </c>
      <c r="J159" s="3" t="n">
        <v>45</v>
      </c>
      <c r="K159" s="3" t="n">
        <v>5</v>
      </c>
      <c r="L159" s="3" t="n">
        <v>4788</v>
      </c>
      <c r="M159" s="3" t="n">
        <v>4772.21</v>
      </c>
      <c r="N159" s="3" t="s">
        <v>95</v>
      </c>
      <c r="O159" s="3" t="s">
        <v>104</v>
      </c>
      <c r="P159" s="3" t="s">
        <v>27</v>
      </c>
      <c r="Q159" s="3" t="n">
        <f aca="false">L159-M159</f>
        <v>15.79</v>
      </c>
    </row>
    <row r="160" customFormat="false" ht="15" hidden="false" customHeight="false" outlineLevel="0" collapsed="false">
      <c r="A160" s="2" t="s">
        <v>409</v>
      </c>
      <c r="B160" s="2" t="s">
        <v>183</v>
      </c>
      <c r="C160" s="2" t="s">
        <v>30</v>
      </c>
      <c r="D160" s="2" t="s">
        <v>31</v>
      </c>
      <c r="E160" s="2" t="s">
        <v>32</v>
      </c>
      <c r="F160" s="2" t="s">
        <v>49</v>
      </c>
      <c r="G160" s="2" t="s">
        <v>50</v>
      </c>
      <c r="H160" s="2" t="s">
        <v>24</v>
      </c>
      <c r="I160" s="2" t="n">
        <v>175</v>
      </c>
      <c r="J160" s="2" t="n">
        <v>28</v>
      </c>
      <c r="K160" s="2" t="n">
        <v>0</v>
      </c>
      <c r="L160" s="2" t="n">
        <v>4900</v>
      </c>
      <c r="M160" s="2" t="n">
        <v>5032.7</v>
      </c>
      <c r="N160" s="2" t="s">
        <v>147</v>
      </c>
      <c r="O160" s="2" t="s">
        <v>26</v>
      </c>
      <c r="P160" s="2" t="s">
        <v>26</v>
      </c>
      <c r="Q160" s="3" t="n">
        <f aca="false">L160-M160</f>
        <v>-132.7</v>
      </c>
    </row>
    <row r="161" customFormat="false" ht="15" hidden="false" customHeight="false" outlineLevel="0" collapsed="false">
      <c r="A161" s="3" t="s">
        <v>410</v>
      </c>
      <c r="B161" s="3" t="s">
        <v>411</v>
      </c>
      <c r="C161" s="3" t="s">
        <v>19</v>
      </c>
      <c r="D161" s="3" t="s">
        <v>20</v>
      </c>
      <c r="E161" s="3" t="s">
        <v>21</v>
      </c>
      <c r="F161" s="3" t="s">
        <v>33</v>
      </c>
      <c r="G161" s="3" t="s">
        <v>34</v>
      </c>
      <c r="H161" s="3" t="s">
        <v>35</v>
      </c>
      <c r="I161" s="3" t="n">
        <v>123</v>
      </c>
      <c r="J161" s="3" t="n">
        <v>45</v>
      </c>
      <c r="K161" s="3" t="n">
        <v>10</v>
      </c>
      <c r="L161" s="3" t="n">
        <v>4981.5</v>
      </c>
      <c r="M161" s="3" t="n">
        <v>5089.88</v>
      </c>
      <c r="N161" s="3" t="s">
        <v>110</v>
      </c>
      <c r="O161" s="3" t="s">
        <v>52</v>
      </c>
      <c r="P161" s="3" t="s">
        <v>37</v>
      </c>
      <c r="Q161" s="3" t="n">
        <f aca="false">L161-M161</f>
        <v>-108.38</v>
      </c>
    </row>
    <row r="162" customFormat="false" ht="15" hidden="false" customHeight="false" outlineLevel="0" collapsed="false">
      <c r="A162" s="2" t="s">
        <v>412</v>
      </c>
      <c r="B162" s="2" t="s">
        <v>413</v>
      </c>
      <c r="C162" s="2" t="s">
        <v>161</v>
      </c>
      <c r="D162" s="2" t="s">
        <v>162</v>
      </c>
      <c r="E162" s="2" t="s">
        <v>57</v>
      </c>
      <c r="F162" s="2" t="s">
        <v>43</v>
      </c>
      <c r="G162" s="2" t="s">
        <v>44</v>
      </c>
      <c r="H162" s="2" t="s">
        <v>35</v>
      </c>
      <c r="I162" s="2" t="n">
        <v>125</v>
      </c>
      <c r="J162" s="2" t="n">
        <v>85</v>
      </c>
      <c r="K162" s="2" t="n">
        <v>10</v>
      </c>
      <c r="L162" s="2" t="n">
        <v>9562.5</v>
      </c>
      <c r="M162" s="2" t="n">
        <v>9875.62</v>
      </c>
      <c r="N162" s="2" t="s">
        <v>228</v>
      </c>
      <c r="O162" s="2" t="s">
        <v>104</v>
      </c>
      <c r="P162" s="2" t="s">
        <v>27</v>
      </c>
      <c r="Q162" s="3" t="n">
        <f aca="false">L162-M162</f>
        <v>-313.120000000001</v>
      </c>
    </row>
    <row r="163" customFormat="false" ht="15" hidden="false" customHeight="false" outlineLevel="0" collapsed="false">
      <c r="A163" s="3" t="s">
        <v>414</v>
      </c>
      <c r="B163" s="3" t="s">
        <v>352</v>
      </c>
      <c r="C163" s="3" t="s">
        <v>83</v>
      </c>
      <c r="D163" s="3" t="s">
        <v>84</v>
      </c>
      <c r="E163" s="3" t="s">
        <v>21</v>
      </c>
      <c r="F163" s="3" t="s">
        <v>43</v>
      </c>
      <c r="G163" s="3" t="s">
        <v>44</v>
      </c>
      <c r="H163" s="3" t="s">
        <v>35</v>
      </c>
      <c r="I163" s="3" t="n">
        <v>54</v>
      </c>
      <c r="J163" s="3" t="n">
        <v>85</v>
      </c>
      <c r="K163" s="3" t="n">
        <v>0</v>
      </c>
      <c r="L163" s="3" t="n">
        <v>4590</v>
      </c>
      <c r="M163" s="3" t="n">
        <v>4737.85</v>
      </c>
      <c r="N163" s="3" t="s">
        <v>280</v>
      </c>
      <c r="O163" s="3" t="s">
        <v>52</v>
      </c>
      <c r="P163" s="3" t="s">
        <v>105</v>
      </c>
      <c r="Q163" s="3" t="n">
        <f aca="false">L163-M163</f>
        <v>-147.85</v>
      </c>
    </row>
    <row r="164" customFormat="false" ht="15" hidden="false" customHeight="false" outlineLevel="0" collapsed="false">
      <c r="A164" s="2" t="s">
        <v>415</v>
      </c>
      <c r="B164" s="2" t="s">
        <v>398</v>
      </c>
      <c r="C164" s="2" t="s">
        <v>161</v>
      </c>
      <c r="D164" s="2" t="s">
        <v>162</v>
      </c>
      <c r="E164" s="2" t="s">
        <v>57</v>
      </c>
      <c r="F164" s="2" t="s">
        <v>66</v>
      </c>
      <c r="G164" s="2" t="s">
        <v>67</v>
      </c>
      <c r="H164" s="2" t="s">
        <v>68</v>
      </c>
      <c r="I164" s="2" t="n">
        <v>28</v>
      </c>
      <c r="J164" s="2" t="n">
        <v>35</v>
      </c>
      <c r="K164" s="2" t="n">
        <v>0</v>
      </c>
      <c r="L164" s="2" t="n">
        <v>980</v>
      </c>
      <c r="M164" s="2" t="n">
        <v>945.13</v>
      </c>
      <c r="N164" s="2" t="s">
        <v>304</v>
      </c>
      <c r="O164" s="2" t="s">
        <v>104</v>
      </c>
      <c r="P164" s="2" t="s">
        <v>27</v>
      </c>
      <c r="Q164" s="3" t="n">
        <f aca="false">L164-M164</f>
        <v>34.87</v>
      </c>
    </row>
    <row r="165" customFormat="false" ht="15" hidden="false" customHeight="false" outlineLevel="0" collapsed="false">
      <c r="A165" s="3" t="s">
        <v>416</v>
      </c>
      <c r="B165" s="3" t="s">
        <v>247</v>
      </c>
      <c r="C165" s="3" t="s">
        <v>83</v>
      </c>
      <c r="D165" s="3" t="s">
        <v>84</v>
      </c>
      <c r="E165" s="3" t="s">
        <v>21</v>
      </c>
      <c r="F165" s="3" t="s">
        <v>66</v>
      </c>
      <c r="G165" s="3" t="s">
        <v>67</v>
      </c>
      <c r="H165" s="3" t="s">
        <v>68</v>
      </c>
      <c r="I165" s="3" t="n">
        <v>81</v>
      </c>
      <c r="J165" s="3" t="n">
        <v>35</v>
      </c>
      <c r="K165" s="3" t="n">
        <v>0</v>
      </c>
      <c r="L165" s="3" t="n">
        <v>2835</v>
      </c>
      <c r="M165" s="3" t="n">
        <v>3116.77</v>
      </c>
      <c r="N165" s="3" t="s">
        <v>228</v>
      </c>
      <c r="O165" s="3" t="s">
        <v>52</v>
      </c>
      <c r="P165" s="3" t="s">
        <v>52</v>
      </c>
      <c r="Q165" s="3" t="n">
        <f aca="false">L165-M165</f>
        <v>-281.77</v>
      </c>
    </row>
    <row r="166" customFormat="false" ht="15" hidden="false" customHeight="false" outlineLevel="0" collapsed="false">
      <c r="A166" s="2" t="s">
        <v>417</v>
      </c>
      <c r="B166" s="2" t="s">
        <v>418</v>
      </c>
      <c r="C166" s="2" t="s">
        <v>83</v>
      </c>
      <c r="D166" s="2" t="s">
        <v>84</v>
      </c>
      <c r="E166" s="2" t="s">
        <v>21</v>
      </c>
      <c r="F166" s="2" t="s">
        <v>98</v>
      </c>
      <c r="G166" s="2" t="s">
        <v>99</v>
      </c>
      <c r="H166" s="2" t="s">
        <v>68</v>
      </c>
      <c r="I166" s="2" t="n">
        <v>154</v>
      </c>
      <c r="J166" s="2" t="n">
        <v>22</v>
      </c>
      <c r="K166" s="2" t="n">
        <v>0</v>
      </c>
      <c r="L166" s="2" t="n">
        <v>3388</v>
      </c>
      <c r="M166" s="2" t="n">
        <v>3364.31</v>
      </c>
      <c r="N166" s="2" t="s">
        <v>69</v>
      </c>
      <c r="O166" s="2" t="s">
        <v>104</v>
      </c>
      <c r="P166" s="2" t="s">
        <v>26</v>
      </c>
      <c r="Q166" s="3" t="n">
        <f aca="false">L166-M166</f>
        <v>23.6900000000001</v>
      </c>
    </row>
    <row r="167" customFormat="false" ht="15" hidden="false" customHeight="false" outlineLevel="0" collapsed="false">
      <c r="A167" s="3" t="s">
        <v>419</v>
      </c>
      <c r="B167" s="3" t="s">
        <v>420</v>
      </c>
      <c r="C167" s="3" t="s">
        <v>77</v>
      </c>
      <c r="D167" s="3" t="s">
        <v>78</v>
      </c>
      <c r="E167" s="3" t="s">
        <v>79</v>
      </c>
      <c r="F167" s="3" t="s">
        <v>66</v>
      </c>
      <c r="G167" s="3" t="s">
        <v>67</v>
      </c>
      <c r="H167" s="3" t="s">
        <v>68</v>
      </c>
      <c r="I167" s="3" t="n">
        <v>195</v>
      </c>
      <c r="J167" s="3" t="n">
        <v>35</v>
      </c>
      <c r="K167" s="3" t="n">
        <v>10</v>
      </c>
      <c r="L167" s="3" t="n">
        <v>6142.5</v>
      </c>
      <c r="M167" s="3" t="n">
        <v>7475.57</v>
      </c>
      <c r="N167" s="3" t="s">
        <v>339</v>
      </c>
      <c r="O167" s="3" t="s">
        <v>37</v>
      </c>
      <c r="P167" s="3" t="s">
        <v>37</v>
      </c>
      <c r="Q167" s="3" t="n">
        <f aca="false">L167-M167</f>
        <v>-1333.07</v>
      </c>
    </row>
    <row r="168" customFormat="false" ht="15" hidden="false" customHeight="false" outlineLevel="0" collapsed="false">
      <c r="A168" s="2" t="s">
        <v>421</v>
      </c>
      <c r="B168" s="2" t="s">
        <v>422</v>
      </c>
      <c r="C168" s="2" t="s">
        <v>64</v>
      </c>
      <c r="D168" s="2" t="s">
        <v>65</v>
      </c>
      <c r="E168" s="2" t="s">
        <v>32</v>
      </c>
      <c r="F168" s="2" t="s">
        <v>108</v>
      </c>
      <c r="G168" s="2" t="s">
        <v>109</v>
      </c>
      <c r="H168" s="2" t="s">
        <v>60</v>
      </c>
      <c r="I168" s="2" t="n">
        <v>182</v>
      </c>
      <c r="J168" s="2" t="n">
        <v>12.5</v>
      </c>
      <c r="K168" s="2" t="n">
        <v>10</v>
      </c>
      <c r="L168" s="2" t="n">
        <v>2047.5</v>
      </c>
      <c r="M168" s="2" t="n">
        <v>2314.64</v>
      </c>
      <c r="N168" s="2" t="s">
        <v>280</v>
      </c>
      <c r="O168" s="2" t="s">
        <v>46</v>
      </c>
      <c r="P168" s="2" t="s">
        <v>26</v>
      </c>
      <c r="Q168" s="3" t="n">
        <f aca="false">L168-M168</f>
        <v>-267.14</v>
      </c>
    </row>
    <row r="169" customFormat="false" ht="15" hidden="false" customHeight="false" outlineLevel="0" collapsed="false">
      <c r="A169" s="3" t="s">
        <v>423</v>
      </c>
      <c r="B169" s="3" t="s">
        <v>424</v>
      </c>
      <c r="C169" s="3" t="s">
        <v>19</v>
      </c>
      <c r="D169" s="3" t="s">
        <v>20</v>
      </c>
      <c r="E169" s="3" t="s">
        <v>21</v>
      </c>
      <c r="F169" s="3" t="s">
        <v>33</v>
      </c>
      <c r="G169" s="3" t="s">
        <v>34</v>
      </c>
      <c r="H169" s="3" t="s">
        <v>35</v>
      </c>
      <c r="I169" s="3" t="n">
        <v>89</v>
      </c>
      <c r="J169" s="3" t="n">
        <v>45</v>
      </c>
      <c r="K169" s="3" t="n">
        <v>5</v>
      </c>
      <c r="L169" s="3" t="n">
        <v>3804.75</v>
      </c>
      <c r="M169" s="3" t="n">
        <v>4328.58</v>
      </c>
      <c r="N169" s="3" t="s">
        <v>113</v>
      </c>
      <c r="O169" s="3" t="s">
        <v>46</v>
      </c>
      <c r="P169" s="3" t="s">
        <v>26</v>
      </c>
      <c r="Q169" s="3" t="n">
        <f aca="false">L169-M169</f>
        <v>-523.83</v>
      </c>
    </row>
    <row r="170" customFormat="false" ht="15" hidden="false" customHeight="false" outlineLevel="0" collapsed="false">
      <c r="A170" s="2" t="s">
        <v>425</v>
      </c>
      <c r="B170" s="2" t="s">
        <v>426</v>
      </c>
      <c r="C170" s="2" t="s">
        <v>30</v>
      </c>
      <c r="D170" s="2" t="s">
        <v>31</v>
      </c>
      <c r="E170" s="2" t="s">
        <v>32</v>
      </c>
      <c r="F170" s="2" t="s">
        <v>58</v>
      </c>
      <c r="G170" s="2" t="s">
        <v>59</v>
      </c>
      <c r="H170" s="2" t="s">
        <v>60</v>
      </c>
      <c r="I170" s="2" t="n">
        <v>100</v>
      </c>
      <c r="J170" s="2" t="n">
        <v>18</v>
      </c>
      <c r="K170" s="2" t="n">
        <v>15</v>
      </c>
      <c r="L170" s="2" t="n">
        <v>1530</v>
      </c>
      <c r="M170" s="2" t="n">
        <v>1958.81</v>
      </c>
      <c r="N170" s="2" t="s">
        <v>228</v>
      </c>
      <c r="O170" s="2" t="s">
        <v>37</v>
      </c>
      <c r="P170" s="2" t="s">
        <v>27</v>
      </c>
      <c r="Q170" s="3" t="n">
        <f aca="false">L170-M170</f>
        <v>-428.81</v>
      </c>
    </row>
    <row r="171" customFormat="false" ht="15" hidden="false" customHeight="false" outlineLevel="0" collapsed="false">
      <c r="A171" s="3" t="s">
        <v>427</v>
      </c>
      <c r="B171" s="3" t="s">
        <v>428</v>
      </c>
      <c r="C171" s="3" t="s">
        <v>40</v>
      </c>
      <c r="D171" s="3" t="s">
        <v>41</v>
      </c>
      <c r="E171" s="3" t="s">
        <v>42</v>
      </c>
      <c r="F171" s="3" t="s">
        <v>22</v>
      </c>
      <c r="G171" s="3" t="s">
        <v>23</v>
      </c>
      <c r="H171" s="3" t="s">
        <v>24</v>
      </c>
      <c r="I171" s="3" t="n">
        <v>173</v>
      </c>
      <c r="J171" s="3" t="n">
        <v>32</v>
      </c>
      <c r="K171" s="3" t="n">
        <v>0</v>
      </c>
      <c r="L171" s="3" t="n">
        <v>5536</v>
      </c>
      <c r="M171" s="3" t="n">
        <v>5102.36</v>
      </c>
      <c r="N171" s="3" t="s">
        <v>202</v>
      </c>
      <c r="O171" s="3" t="s">
        <v>52</v>
      </c>
      <c r="P171" s="3" t="s">
        <v>52</v>
      </c>
      <c r="Q171" s="3" t="n">
        <f aca="false">L171-M171</f>
        <v>433.64</v>
      </c>
    </row>
    <row r="172" customFormat="false" ht="15" hidden="false" customHeight="false" outlineLevel="0" collapsed="false">
      <c r="A172" s="2" t="s">
        <v>429</v>
      </c>
      <c r="B172" s="2" t="s">
        <v>368</v>
      </c>
      <c r="C172" s="2" t="s">
        <v>64</v>
      </c>
      <c r="D172" s="2" t="s">
        <v>65</v>
      </c>
      <c r="E172" s="2" t="s">
        <v>32</v>
      </c>
      <c r="F172" s="2" t="s">
        <v>88</v>
      </c>
      <c r="G172" s="2" t="s">
        <v>89</v>
      </c>
      <c r="H172" s="2" t="s">
        <v>74</v>
      </c>
      <c r="I172" s="2" t="n">
        <v>182</v>
      </c>
      <c r="J172" s="2" t="n">
        <v>38</v>
      </c>
      <c r="K172" s="2" t="n">
        <v>15</v>
      </c>
      <c r="L172" s="2" t="n">
        <v>5878.6</v>
      </c>
      <c r="M172" s="2" t="n">
        <v>6977.48</v>
      </c>
      <c r="N172" s="2" t="s">
        <v>225</v>
      </c>
      <c r="O172" s="2" t="s">
        <v>104</v>
      </c>
      <c r="P172" s="2" t="s">
        <v>52</v>
      </c>
      <c r="Q172" s="3" t="n">
        <f aca="false">L172-M172</f>
        <v>-1098.88</v>
      </c>
    </row>
    <row r="173" customFormat="false" ht="15" hidden="false" customHeight="false" outlineLevel="0" collapsed="false">
      <c r="A173" s="3" t="s">
        <v>430</v>
      </c>
      <c r="B173" s="3" t="s">
        <v>277</v>
      </c>
      <c r="C173" s="3" t="s">
        <v>77</v>
      </c>
      <c r="D173" s="3" t="s">
        <v>78</v>
      </c>
      <c r="E173" s="3" t="s">
        <v>79</v>
      </c>
      <c r="F173" s="3" t="s">
        <v>58</v>
      </c>
      <c r="G173" s="3" t="s">
        <v>59</v>
      </c>
      <c r="H173" s="3" t="s">
        <v>60</v>
      </c>
      <c r="I173" s="3" t="n">
        <v>125</v>
      </c>
      <c r="J173" s="3" t="n">
        <v>18</v>
      </c>
      <c r="K173" s="3" t="n">
        <v>0</v>
      </c>
      <c r="L173" s="3" t="n">
        <v>2250</v>
      </c>
      <c r="M173" s="3" t="n">
        <v>2362.71</v>
      </c>
      <c r="N173" s="3" t="s">
        <v>45</v>
      </c>
      <c r="O173" s="3" t="s">
        <v>26</v>
      </c>
      <c r="P173" s="3" t="s">
        <v>37</v>
      </c>
      <c r="Q173" s="3" t="n">
        <f aca="false">L173-M173</f>
        <v>-112.71</v>
      </c>
    </row>
    <row r="174" customFormat="false" ht="15" hidden="false" customHeight="false" outlineLevel="0" collapsed="false">
      <c r="A174" s="2" t="s">
        <v>431</v>
      </c>
      <c r="B174" s="2" t="s">
        <v>179</v>
      </c>
      <c r="C174" s="2" t="s">
        <v>161</v>
      </c>
      <c r="D174" s="2" t="s">
        <v>162</v>
      </c>
      <c r="E174" s="2" t="s">
        <v>57</v>
      </c>
      <c r="F174" s="2" t="s">
        <v>66</v>
      </c>
      <c r="G174" s="2" t="s">
        <v>67</v>
      </c>
      <c r="H174" s="2" t="s">
        <v>68</v>
      </c>
      <c r="I174" s="2" t="n">
        <v>28</v>
      </c>
      <c r="J174" s="2" t="n">
        <v>35</v>
      </c>
      <c r="K174" s="2" t="n">
        <v>10</v>
      </c>
      <c r="L174" s="2" t="n">
        <v>882</v>
      </c>
      <c r="M174" s="2" t="n">
        <v>1005.37</v>
      </c>
      <c r="N174" s="2" t="s">
        <v>119</v>
      </c>
      <c r="O174" s="2" t="s">
        <v>104</v>
      </c>
      <c r="P174" s="2" t="s">
        <v>105</v>
      </c>
      <c r="Q174" s="3" t="n">
        <f aca="false">L174-M174</f>
        <v>-123.37</v>
      </c>
    </row>
    <row r="175" customFormat="false" ht="15" hidden="false" customHeight="false" outlineLevel="0" collapsed="false">
      <c r="A175" s="3" t="s">
        <v>432</v>
      </c>
      <c r="B175" s="3" t="s">
        <v>357</v>
      </c>
      <c r="C175" s="3" t="s">
        <v>77</v>
      </c>
      <c r="D175" s="3" t="s">
        <v>78</v>
      </c>
      <c r="E175" s="3" t="s">
        <v>79</v>
      </c>
      <c r="F175" s="3" t="s">
        <v>66</v>
      </c>
      <c r="G175" s="3" t="s">
        <v>67</v>
      </c>
      <c r="H175" s="3" t="s">
        <v>68</v>
      </c>
      <c r="I175" s="3" t="n">
        <v>126</v>
      </c>
      <c r="J175" s="3" t="n">
        <v>35</v>
      </c>
      <c r="K175" s="3" t="n">
        <v>0</v>
      </c>
      <c r="L175" s="3" t="n">
        <v>4410</v>
      </c>
      <c r="M175" s="3" t="n">
        <v>4107.83</v>
      </c>
      <c r="N175" s="3" t="s">
        <v>187</v>
      </c>
      <c r="O175" s="3" t="s">
        <v>46</v>
      </c>
      <c r="P175" s="3" t="s">
        <v>26</v>
      </c>
      <c r="Q175" s="3" t="n">
        <f aca="false">L175-M175</f>
        <v>302.17</v>
      </c>
    </row>
    <row r="176" customFormat="false" ht="15" hidden="false" customHeight="false" outlineLevel="0" collapsed="false">
      <c r="A176" s="2" t="s">
        <v>433</v>
      </c>
      <c r="B176" s="2" t="s">
        <v>251</v>
      </c>
      <c r="C176" s="2" t="s">
        <v>40</v>
      </c>
      <c r="D176" s="2" t="s">
        <v>41</v>
      </c>
      <c r="E176" s="2" t="s">
        <v>42</v>
      </c>
      <c r="F176" s="2" t="s">
        <v>33</v>
      </c>
      <c r="G176" s="2" t="s">
        <v>34</v>
      </c>
      <c r="H176" s="2" t="s">
        <v>35</v>
      </c>
      <c r="I176" s="2" t="n">
        <v>198</v>
      </c>
      <c r="J176" s="2" t="n">
        <v>45</v>
      </c>
      <c r="K176" s="2" t="n">
        <v>0</v>
      </c>
      <c r="L176" s="2" t="n">
        <v>8910</v>
      </c>
      <c r="M176" s="2" t="n">
        <v>9428.15</v>
      </c>
      <c r="N176" s="2" t="s">
        <v>45</v>
      </c>
      <c r="O176" s="2" t="s">
        <v>104</v>
      </c>
      <c r="P176" s="2" t="s">
        <v>105</v>
      </c>
      <c r="Q176" s="3" t="n">
        <f aca="false">L176-M176</f>
        <v>-518.15</v>
      </c>
    </row>
    <row r="177" customFormat="false" ht="15" hidden="false" customHeight="false" outlineLevel="0" collapsed="false">
      <c r="A177" s="3" t="s">
        <v>434</v>
      </c>
      <c r="B177" s="3" t="s">
        <v>264</v>
      </c>
      <c r="C177" s="3" t="s">
        <v>40</v>
      </c>
      <c r="D177" s="3" t="s">
        <v>41</v>
      </c>
      <c r="E177" s="3" t="s">
        <v>42</v>
      </c>
      <c r="F177" s="3" t="s">
        <v>22</v>
      </c>
      <c r="G177" s="3" t="s">
        <v>23</v>
      </c>
      <c r="H177" s="3" t="s">
        <v>24</v>
      </c>
      <c r="I177" s="3" t="n">
        <v>48</v>
      </c>
      <c r="J177" s="3" t="n">
        <v>32</v>
      </c>
      <c r="K177" s="3" t="n">
        <v>5</v>
      </c>
      <c r="L177" s="3" t="n">
        <v>1459.2</v>
      </c>
      <c r="M177" s="3" t="n">
        <v>1547.85</v>
      </c>
      <c r="N177" s="3" t="s">
        <v>85</v>
      </c>
      <c r="O177" s="3" t="s">
        <v>46</v>
      </c>
      <c r="P177" s="3" t="s">
        <v>26</v>
      </c>
      <c r="Q177" s="3" t="n">
        <f aca="false">L177-M177</f>
        <v>-88.6499999999999</v>
      </c>
    </row>
    <row r="178" customFormat="false" ht="15" hidden="false" customHeight="false" outlineLevel="0" collapsed="false">
      <c r="A178" s="2" t="s">
        <v>435</v>
      </c>
      <c r="B178" s="2" t="s">
        <v>291</v>
      </c>
      <c r="C178" s="2" t="s">
        <v>30</v>
      </c>
      <c r="D178" s="2" t="s">
        <v>31</v>
      </c>
      <c r="E178" s="2" t="s">
        <v>32</v>
      </c>
      <c r="F178" s="2" t="s">
        <v>22</v>
      </c>
      <c r="G178" s="2" t="s">
        <v>23</v>
      </c>
      <c r="H178" s="2" t="s">
        <v>24</v>
      </c>
      <c r="I178" s="2" t="n">
        <v>46</v>
      </c>
      <c r="J178" s="2" t="n">
        <v>32</v>
      </c>
      <c r="K178" s="2" t="n">
        <v>0</v>
      </c>
      <c r="L178" s="2" t="n">
        <v>1472</v>
      </c>
      <c r="M178" s="2" t="n">
        <v>1502.17</v>
      </c>
      <c r="N178" s="2" t="s">
        <v>116</v>
      </c>
      <c r="O178" s="2" t="s">
        <v>52</v>
      </c>
      <c r="P178" s="2" t="s">
        <v>37</v>
      </c>
      <c r="Q178" s="3" t="n">
        <f aca="false">L178-M178</f>
        <v>-30.1700000000001</v>
      </c>
    </row>
    <row r="179" customFormat="false" ht="15" hidden="false" customHeight="false" outlineLevel="0" collapsed="false">
      <c r="A179" s="3" t="s">
        <v>436</v>
      </c>
      <c r="B179" s="3" t="s">
        <v>230</v>
      </c>
      <c r="C179" s="3" t="s">
        <v>83</v>
      </c>
      <c r="D179" s="3" t="s">
        <v>84</v>
      </c>
      <c r="E179" s="3" t="s">
        <v>21</v>
      </c>
      <c r="F179" s="3" t="s">
        <v>72</v>
      </c>
      <c r="G179" s="3" t="s">
        <v>73</v>
      </c>
      <c r="H179" s="3" t="s">
        <v>74</v>
      </c>
      <c r="I179" s="3" t="n">
        <v>125</v>
      </c>
      <c r="J179" s="3" t="n">
        <v>55</v>
      </c>
      <c r="K179" s="3" t="n">
        <v>5</v>
      </c>
      <c r="L179" s="3" t="n">
        <v>6531.25</v>
      </c>
      <c r="M179" s="3" t="n">
        <v>7122.65</v>
      </c>
      <c r="N179" s="3" t="s">
        <v>85</v>
      </c>
      <c r="O179" s="3" t="s">
        <v>46</v>
      </c>
      <c r="P179" s="3" t="s">
        <v>105</v>
      </c>
      <c r="Q179" s="3" t="n">
        <f aca="false">L179-M179</f>
        <v>-591.4</v>
      </c>
    </row>
    <row r="180" customFormat="false" ht="15" hidden="false" customHeight="false" outlineLevel="0" collapsed="false">
      <c r="A180" s="2" t="s">
        <v>437</v>
      </c>
      <c r="B180" s="2" t="s">
        <v>438</v>
      </c>
      <c r="C180" s="2" t="s">
        <v>30</v>
      </c>
      <c r="D180" s="2" t="s">
        <v>31</v>
      </c>
      <c r="E180" s="2" t="s">
        <v>32</v>
      </c>
      <c r="F180" s="2" t="s">
        <v>43</v>
      </c>
      <c r="G180" s="2" t="s">
        <v>44</v>
      </c>
      <c r="H180" s="2" t="s">
        <v>35</v>
      </c>
      <c r="I180" s="2" t="n">
        <v>167</v>
      </c>
      <c r="J180" s="2" t="n">
        <v>85</v>
      </c>
      <c r="K180" s="2" t="n">
        <v>15</v>
      </c>
      <c r="L180" s="2" t="n">
        <v>12065.75</v>
      </c>
      <c r="M180" s="2" t="n">
        <v>15167.65</v>
      </c>
      <c r="N180" s="2" t="s">
        <v>173</v>
      </c>
      <c r="O180" s="2" t="s">
        <v>46</v>
      </c>
      <c r="P180" s="2" t="s">
        <v>26</v>
      </c>
      <c r="Q180" s="3" t="n">
        <f aca="false">L180-M180</f>
        <v>-3101.9</v>
      </c>
    </row>
    <row r="181" customFormat="false" ht="15" hidden="false" customHeight="false" outlineLevel="0" collapsed="false">
      <c r="A181" s="3" t="s">
        <v>439</v>
      </c>
      <c r="B181" s="3" t="s">
        <v>107</v>
      </c>
      <c r="C181" s="3" t="s">
        <v>83</v>
      </c>
      <c r="D181" s="3" t="s">
        <v>84</v>
      </c>
      <c r="E181" s="3" t="s">
        <v>21</v>
      </c>
      <c r="F181" s="3" t="s">
        <v>108</v>
      </c>
      <c r="G181" s="3" t="s">
        <v>109</v>
      </c>
      <c r="H181" s="3" t="s">
        <v>60</v>
      </c>
      <c r="I181" s="3" t="n">
        <v>165</v>
      </c>
      <c r="J181" s="3" t="n">
        <v>12.5</v>
      </c>
      <c r="K181" s="3" t="n">
        <v>15</v>
      </c>
      <c r="L181" s="3" t="n">
        <v>1753.12</v>
      </c>
      <c r="M181" s="3" t="n">
        <v>2178.54</v>
      </c>
      <c r="N181" s="3" t="s">
        <v>440</v>
      </c>
      <c r="O181" s="3" t="s">
        <v>52</v>
      </c>
      <c r="P181" s="3" t="s">
        <v>105</v>
      </c>
      <c r="Q181" s="3" t="n">
        <f aca="false">L181-M181</f>
        <v>-425.42</v>
      </c>
    </row>
    <row r="182" customFormat="false" ht="15" hidden="false" customHeight="false" outlineLevel="0" collapsed="false">
      <c r="A182" s="2" t="s">
        <v>441</v>
      </c>
      <c r="B182" s="2" t="s">
        <v>121</v>
      </c>
      <c r="C182" s="2" t="s">
        <v>77</v>
      </c>
      <c r="D182" s="2"/>
      <c r="E182" s="2" t="s">
        <v>79</v>
      </c>
      <c r="F182" s="2" t="s">
        <v>98</v>
      </c>
      <c r="G182" s="2" t="s">
        <v>99</v>
      </c>
      <c r="H182" s="2" t="s">
        <v>68</v>
      </c>
      <c r="I182" s="2" t="n">
        <v>155</v>
      </c>
      <c r="J182" s="2" t="n">
        <v>22</v>
      </c>
      <c r="K182" s="2" t="n">
        <v>0</v>
      </c>
      <c r="L182" s="2" t="n">
        <v>3410</v>
      </c>
      <c r="M182" s="2" t="n">
        <v>3463.82</v>
      </c>
      <c r="N182" s="2" t="s">
        <v>440</v>
      </c>
      <c r="O182" s="2" t="s">
        <v>52</v>
      </c>
      <c r="P182" s="2" t="s">
        <v>37</v>
      </c>
      <c r="Q182" s="3" t="n">
        <f aca="false">L182-M182</f>
        <v>-53.8200000000002</v>
      </c>
    </row>
    <row r="183" customFormat="false" ht="15" hidden="false" customHeight="false" outlineLevel="0" collapsed="false">
      <c r="A183" s="3" t="s">
        <v>442</v>
      </c>
      <c r="B183" s="3" t="s">
        <v>443</v>
      </c>
      <c r="C183" s="3" t="s">
        <v>64</v>
      </c>
      <c r="D183" s="3" t="s">
        <v>65</v>
      </c>
      <c r="E183" s="3" t="s">
        <v>32</v>
      </c>
      <c r="F183" s="3" t="s">
        <v>88</v>
      </c>
      <c r="G183" s="3" t="s">
        <v>89</v>
      </c>
      <c r="H183" s="3" t="s">
        <v>74</v>
      </c>
      <c r="I183" s="3" t="n">
        <v>187</v>
      </c>
      <c r="J183" s="3" t="n">
        <v>38</v>
      </c>
      <c r="K183" s="3" t="n">
        <v>0</v>
      </c>
      <c r="L183" s="3" t="n">
        <v>7106</v>
      </c>
      <c r="M183" s="3" t="n">
        <v>6483.69</v>
      </c>
      <c r="N183" s="3" t="s">
        <v>36</v>
      </c>
      <c r="O183" s="3" t="s">
        <v>37</v>
      </c>
      <c r="P183" s="3" t="s">
        <v>52</v>
      </c>
      <c r="Q183" s="3" t="n">
        <f aca="false">L183-M183</f>
        <v>622.31</v>
      </c>
    </row>
    <row r="184" customFormat="false" ht="15" hidden="false" customHeight="false" outlineLevel="0" collapsed="false">
      <c r="A184" s="2" t="s">
        <v>444</v>
      </c>
      <c r="B184" s="2" t="s">
        <v>382</v>
      </c>
      <c r="C184" s="2" t="s">
        <v>77</v>
      </c>
      <c r="D184" s="2" t="s">
        <v>78</v>
      </c>
      <c r="E184" s="2" t="s">
        <v>79</v>
      </c>
      <c r="F184" s="2" t="s">
        <v>33</v>
      </c>
      <c r="G184" s="2" t="s">
        <v>34</v>
      </c>
      <c r="H184" s="2" t="s">
        <v>35</v>
      </c>
      <c r="I184" s="2" t="n">
        <v>37</v>
      </c>
      <c r="J184" s="2" t="n">
        <v>45</v>
      </c>
      <c r="K184" s="2" t="n">
        <v>5</v>
      </c>
      <c r="L184" s="2" t="n">
        <v>1581.75</v>
      </c>
      <c r="M184" s="2" t="n">
        <v>1571.37</v>
      </c>
      <c r="N184" s="2" t="s">
        <v>379</v>
      </c>
      <c r="O184" s="2" t="s">
        <v>26</v>
      </c>
      <c r="P184" s="2" t="s">
        <v>37</v>
      </c>
      <c r="Q184" s="3" t="n">
        <f aca="false">L184-M184</f>
        <v>10.3800000000001</v>
      </c>
    </row>
    <row r="185" customFormat="false" ht="15" hidden="false" customHeight="false" outlineLevel="0" collapsed="false">
      <c r="A185" s="3" t="s">
        <v>445</v>
      </c>
      <c r="B185" s="3" t="s">
        <v>446</v>
      </c>
      <c r="C185" s="3" t="s">
        <v>40</v>
      </c>
      <c r="D185" s="3" t="s">
        <v>41</v>
      </c>
      <c r="E185" s="3" t="s">
        <v>42</v>
      </c>
      <c r="F185" s="3" t="s">
        <v>33</v>
      </c>
      <c r="G185" s="3" t="s">
        <v>34</v>
      </c>
      <c r="H185" s="3" t="s">
        <v>35</v>
      </c>
      <c r="I185" s="3" t="n">
        <v>96</v>
      </c>
      <c r="J185" s="3" t="n">
        <v>45</v>
      </c>
      <c r="K185" s="3" t="n">
        <v>0</v>
      </c>
      <c r="L185" s="3" t="n">
        <v>4320</v>
      </c>
      <c r="M185" s="3" t="n">
        <v>3968.13</v>
      </c>
      <c r="N185" s="3" t="s">
        <v>353</v>
      </c>
      <c r="O185" s="3" t="s">
        <v>37</v>
      </c>
      <c r="P185" s="3" t="s">
        <v>26</v>
      </c>
      <c r="Q185" s="3" t="n">
        <f aca="false">L185-M185</f>
        <v>351.87</v>
      </c>
    </row>
    <row r="186" customFormat="false" ht="15" hidden="false" customHeight="false" outlineLevel="0" collapsed="false">
      <c r="A186" s="2" t="s">
        <v>447</v>
      </c>
      <c r="B186" s="2" t="s">
        <v>448</v>
      </c>
      <c r="C186" s="2" t="s">
        <v>40</v>
      </c>
      <c r="D186" s="2" t="s">
        <v>41</v>
      </c>
      <c r="E186" s="2" t="s">
        <v>42</v>
      </c>
      <c r="F186" s="2" t="s">
        <v>33</v>
      </c>
      <c r="G186" s="2" t="s">
        <v>34</v>
      </c>
      <c r="H186" s="2" t="s">
        <v>35</v>
      </c>
      <c r="I186" s="2" t="n">
        <v>194</v>
      </c>
      <c r="J186" s="2" t="n">
        <v>45</v>
      </c>
      <c r="K186" s="2" t="n">
        <v>0</v>
      </c>
      <c r="L186" s="2" t="n">
        <v>8730</v>
      </c>
      <c r="M186" s="2" t="n">
        <v>8407.95</v>
      </c>
      <c r="N186" s="2" t="s">
        <v>103</v>
      </c>
      <c r="O186" s="2" t="s">
        <v>104</v>
      </c>
      <c r="P186" s="2" t="s">
        <v>37</v>
      </c>
      <c r="Q186" s="3" t="n">
        <f aca="false">L186-M186</f>
        <v>322.049999999999</v>
      </c>
    </row>
    <row r="187" customFormat="false" ht="15" hidden="false" customHeight="false" outlineLevel="0" collapsed="false">
      <c r="A187" s="3" t="s">
        <v>449</v>
      </c>
      <c r="B187" s="3" t="s">
        <v>247</v>
      </c>
      <c r="C187" s="3" t="s">
        <v>161</v>
      </c>
      <c r="D187" s="3" t="s">
        <v>162</v>
      </c>
      <c r="E187" s="3" t="s">
        <v>57</v>
      </c>
      <c r="F187" s="3" t="s">
        <v>33</v>
      </c>
      <c r="G187" s="3" t="s">
        <v>34</v>
      </c>
      <c r="H187" s="3" t="s">
        <v>35</v>
      </c>
      <c r="I187" s="3" t="n">
        <v>77</v>
      </c>
      <c r="J187" s="3" t="n">
        <v>45</v>
      </c>
      <c r="K187" s="3" t="n">
        <v>15</v>
      </c>
      <c r="L187" s="3" t="n">
        <v>2945.25</v>
      </c>
      <c r="M187" s="3" t="n">
        <v>3174.76</v>
      </c>
      <c r="N187" s="3" t="s">
        <v>144</v>
      </c>
      <c r="O187" s="3" t="s">
        <v>46</v>
      </c>
      <c r="P187" s="3" t="s">
        <v>105</v>
      </c>
      <c r="Q187" s="3" t="n">
        <f aca="false">L187-M187</f>
        <v>-229.51</v>
      </c>
    </row>
    <row r="188" customFormat="false" ht="15" hidden="false" customHeight="false" outlineLevel="0" collapsed="false">
      <c r="A188" s="2" t="s">
        <v>450</v>
      </c>
      <c r="B188" s="2" t="s">
        <v>451</v>
      </c>
      <c r="C188" s="2" t="s">
        <v>161</v>
      </c>
      <c r="D188" s="2" t="s">
        <v>162</v>
      </c>
      <c r="E188" s="2" t="s">
        <v>57</v>
      </c>
      <c r="F188" s="2" t="s">
        <v>66</v>
      </c>
      <c r="G188" s="2" t="s">
        <v>67</v>
      </c>
      <c r="H188" s="2" t="s">
        <v>68</v>
      </c>
      <c r="I188" s="2" t="n">
        <v>171</v>
      </c>
      <c r="J188" s="2" t="n">
        <v>35</v>
      </c>
      <c r="K188" s="2" t="n">
        <v>10</v>
      </c>
      <c r="L188" s="2" t="n">
        <v>5386.5</v>
      </c>
      <c r="M188" s="2" t="n">
        <v>5619.24</v>
      </c>
      <c r="N188" s="2" t="s">
        <v>379</v>
      </c>
      <c r="O188" s="2" t="s">
        <v>26</v>
      </c>
      <c r="P188" s="2" t="s">
        <v>52</v>
      </c>
      <c r="Q188" s="3" t="n">
        <f aca="false">L188-M188</f>
        <v>-232.74</v>
      </c>
    </row>
    <row r="189" customFormat="false" ht="15" hidden="false" customHeight="false" outlineLevel="0" collapsed="false">
      <c r="A189" s="3" t="s">
        <v>452</v>
      </c>
      <c r="B189" s="3" t="s">
        <v>453</v>
      </c>
      <c r="C189" s="3" t="s">
        <v>19</v>
      </c>
      <c r="D189" s="3" t="s">
        <v>20</v>
      </c>
      <c r="E189" s="3" t="s">
        <v>21</v>
      </c>
      <c r="F189" s="3" t="s">
        <v>88</v>
      </c>
      <c r="G189" s="3" t="s">
        <v>89</v>
      </c>
      <c r="H189" s="3" t="s">
        <v>74</v>
      </c>
      <c r="I189" s="3" t="n">
        <v>160</v>
      </c>
      <c r="J189" s="3" t="n">
        <v>38</v>
      </c>
      <c r="K189" s="3" t="n">
        <v>15</v>
      </c>
      <c r="L189" s="3" t="n">
        <v>5168</v>
      </c>
      <c r="M189" s="3" t="n">
        <v>6355.54</v>
      </c>
      <c r="N189" s="3" t="s">
        <v>231</v>
      </c>
      <c r="O189" s="3" t="s">
        <v>26</v>
      </c>
      <c r="P189" s="3" t="s">
        <v>27</v>
      </c>
      <c r="Q189" s="3" t="n">
        <f aca="false">L189-M189</f>
        <v>-1187.54</v>
      </c>
    </row>
    <row r="190" customFormat="false" ht="15" hidden="false" customHeight="false" outlineLevel="0" collapsed="false">
      <c r="A190" s="2" t="s">
        <v>454</v>
      </c>
      <c r="B190" s="2" t="s">
        <v>455</v>
      </c>
      <c r="C190" s="2" t="s">
        <v>77</v>
      </c>
      <c r="D190" s="2" t="s">
        <v>78</v>
      </c>
      <c r="E190" s="2" t="s">
        <v>79</v>
      </c>
      <c r="F190" s="2" t="s">
        <v>58</v>
      </c>
      <c r="G190" s="2" t="s">
        <v>59</v>
      </c>
      <c r="H190" s="2" t="s">
        <v>60</v>
      </c>
      <c r="I190" s="2" t="n">
        <v>44</v>
      </c>
      <c r="J190" s="2" t="n">
        <v>18</v>
      </c>
      <c r="K190" s="2" t="n">
        <v>5</v>
      </c>
      <c r="L190" s="2" t="n">
        <v>752.4</v>
      </c>
      <c r="M190" s="2" t="n">
        <v>818.54</v>
      </c>
      <c r="N190" s="2" t="s">
        <v>141</v>
      </c>
      <c r="O190" s="2" t="s">
        <v>37</v>
      </c>
      <c r="P190" s="2" t="s">
        <v>37</v>
      </c>
      <c r="Q190" s="3" t="n">
        <f aca="false">L190-M190</f>
        <v>-66.14</v>
      </c>
    </row>
    <row r="191" customFormat="false" ht="15" hidden="false" customHeight="false" outlineLevel="0" collapsed="false">
      <c r="A191" s="3" t="s">
        <v>456</v>
      </c>
      <c r="B191" s="3" t="s">
        <v>291</v>
      </c>
      <c r="C191" s="3" t="s">
        <v>40</v>
      </c>
      <c r="D191" s="3" t="s">
        <v>41</v>
      </c>
      <c r="E191" s="3" t="s">
        <v>42</v>
      </c>
      <c r="F191" s="3" t="s">
        <v>22</v>
      </c>
      <c r="G191" s="3" t="s">
        <v>23</v>
      </c>
      <c r="H191" s="3" t="s">
        <v>24</v>
      </c>
      <c r="I191" s="3" t="n">
        <v>59</v>
      </c>
      <c r="J191" s="3" t="n">
        <v>32</v>
      </c>
      <c r="K191" s="3" t="n">
        <v>0</v>
      </c>
      <c r="L191" s="3" t="n">
        <v>1888</v>
      </c>
      <c r="M191" s="3" t="n">
        <v>1804.55</v>
      </c>
      <c r="N191" s="3" t="s">
        <v>187</v>
      </c>
      <c r="O191" s="3" t="s">
        <v>37</v>
      </c>
      <c r="P191" s="3" t="s">
        <v>105</v>
      </c>
      <c r="Q191" s="3" t="n">
        <f aca="false">L191-M191</f>
        <v>83.4500000000001</v>
      </c>
    </row>
    <row r="192" customFormat="false" ht="15" hidden="false" customHeight="false" outlineLevel="0" collapsed="false">
      <c r="A192" s="2" t="s">
        <v>457</v>
      </c>
      <c r="B192" s="2" t="s">
        <v>458</v>
      </c>
      <c r="C192" s="2" t="s">
        <v>19</v>
      </c>
      <c r="D192" s="2" t="s">
        <v>20</v>
      </c>
      <c r="E192" s="2" t="s">
        <v>21</v>
      </c>
      <c r="F192" s="2" t="s">
        <v>72</v>
      </c>
      <c r="G192" s="2" t="s">
        <v>73</v>
      </c>
      <c r="H192" s="2" t="s">
        <v>74</v>
      </c>
      <c r="I192" s="2" t="n">
        <v>80</v>
      </c>
      <c r="J192" s="2" t="n">
        <v>55</v>
      </c>
      <c r="K192" s="2" t="n">
        <v>0</v>
      </c>
      <c r="L192" s="2" t="n">
        <v>4400</v>
      </c>
      <c r="M192" s="2" t="n">
        <v>4784.92</v>
      </c>
      <c r="N192" s="2" t="s">
        <v>51</v>
      </c>
      <c r="O192" s="2" t="s">
        <v>52</v>
      </c>
      <c r="P192" s="2" t="s">
        <v>27</v>
      </c>
      <c r="Q192" s="3" t="n">
        <f aca="false">L192-M192</f>
        <v>-384.92</v>
      </c>
    </row>
    <row r="193" customFormat="false" ht="15" hidden="false" customHeight="false" outlineLevel="0" collapsed="false">
      <c r="A193" s="3" t="s">
        <v>459</v>
      </c>
      <c r="B193" s="3" t="s">
        <v>194</v>
      </c>
      <c r="C193" s="3" t="s">
        <v>19</v>
      </c>
      <c r="D193" s="3" t="s">
        <v>20</v>
      </c>
      <c r="E193" s="3" t="s">
        <v>21</v>
      </c>
      <c r="F193" s="3" t="s">
        <v>98</v>
      </c>
      <c r="G193" s="3" t="s">
        <v>99</v>
      </c>
      <c r="H193" s="3" t="s">
        <v>68</v>
      </c>
      <c r="I193" s="3" t="n">
        <v>97</v>
      </c>
      <c r="J193" s="3" t="n">
        <v>22</v>
      </c>
      <c r="K193" s="3" t="n">
        <v>10</v>
      </c>
      <c r="L193" s="3" t="n">
        <v>1920.6</v>
      </c>
      <c r="M193" s="3" t="n">
        <v>1981.92</v>
      </c>
      <c r="N193" s="3" t="s">
        <v>163</v>
      </c>
      <c r="O193" s="3" t="s">
        <v>37</v>
      </c>
      <c r="P193" s="3" t="s">
        <v>26</v>
      </c>
      <c r="Q193" s="3" t="n">
        <f aca="false">L193-M193</f>
        <v>-61.3200000000002</v>
      </c>
    </row>
    <row r="194" customFormat="false" ht="15" hidden="false" customHeight="false" outlineLevel="0" collapsed="false">
      <c r="A194" s="2" t="s">
        <v>460</v>
      </c>
      <c r="B194" s="2" t="s">
        <v>461</v>
      </c>
      <c r="C194" s="2" t="s">
        <v>40</v>
      </c>
      <c r="D194" s="2" t="s">
        <v>41</v>
      </c>
      <c r="E194" s="2" t="s">
        <v>42</v>
      </c>
      <c r="F194" s="2" t="s">
        <v>72</v>
      </c>
      <c r="G194" s="2" t="s">
        <v>73</v>
      </c>
      <c r="H194" s="2" t="s">
        <v>74</v>
      </c>
      <c r="I194" s="2" t="n">
        <v>95</v>
      </c>
      <c r="J194" s="2" t="n">
        <v>55</v>
      </c>
      <c r="K194" s="2" t="n">
        <v>0</v>
      </c>
      <c r="L194" s="2" t="n">
        <v>5225</v>
      </c>
      <c r="M194" s="2" t="n">
        <v>4782.32</v>
      </c>
      <c r="N194" s="2" t="s">
        <v>462</v>
      </c>
      <c r="O194" s="2" t="s">
        <v>46</v>
      </c>
      <c r="P194" s="2" t="s">
        <v>27</v>
      </c>
      <c r="Q194" s="3" t="n">
        <f aca="false">L194-M194</f>
        <v>442.68</v>
      </c>
    </row>
    <row r="195" customFormat="false" ht="15" hidden="false" customHeight="false" outlineLevel="0" collapsed="false">
      <c r="A195" s="3" t="s">
        <v>463</v>
      </c>
      <c r="B195" s="3" t="s">
        <v>218</v>
      </c>
      <c r="C195" s="3" t="s">
        <v>40</v>
      </c>
      <c r="D195" s="3" t="s">
        <v>41</v>
      </c>
      <c r="E195" s="3" t="s">
        <v>42</v>
      </c>
      <c r="F195" s="3" t="s">
        <v>98</v>
      </c>
      <c r="G195" s="3" t="s">
        <v>99</v>
      </c>
      <c r="H195" s="3" t="s">
        <v>68</v>
      </c>
      <c r="I195" s="3" t="n">
        <v>185</v>
      </c>
      <c r="J195" s="3" t="n">
        <v>22</v>
      </c>
      <c r="K195" s="3" t="n">
        <v>5</v>
      </c>
      <c r="L195" s="3" t="n">
        <v>3866.5</v>
      </c>
      <c r="M195" s="3" t="n">
        <v>3905.11</v>
      </c>
      <c r="N195" s="3" t="s">
        <v>136</v>
      </c>
      <c r="O195" s="3" t="s">
        <v>104</v>
      </c>
      <c r="P195" s="3" t="s">
        <v>27</v>
      </c>
      <c r="Q195" s="3" t="n">
        <f aca="false">L195-M195</f>
        <v>-38.6100000000001</v>
      </c>
    </row>
    <row r="196" customFormat="false" ht="15" hidden="false" customHeight="false" outlineLevel="0" collapsed="false">
      <c r="A196" s="2" t="s">
        <v>464</v>
      </c>
      <c r="B196" s="2" t="s">
        <v>29</v>
      </c>
      <c r="C196" s="2" t="s">
        <v>19</v>
      </c>
      <c r="D196" s="2" t="s">
        <v>20</v>
      </c>
      <c r="E196" s="2" t="s">
        <v>21</v>
      </c>
      <c r="F196" s="2" t="s">
        <v>49</v>
      </c>
      <c r="G196" s="2" t="s">
        <v>50</v>
      </c>
      <c r="H196" s="2" t="s">
        <v>24</v>
      </c>
      <c r="I196" s="2" t="n">
        <v>77</v>
      </c>
      <c r="J196" s="2" t="n">
        <v>28</v>
      </c>
      <c r="K196" s="2" t="n">
        <v>10</v>
      </c>
      <c r="L196" s="2" t="n">
        <v>1940.4</v>
      </c>
      <c r="M196" s="2" t="n">
        <v>2316.59</v>
      </c>
      <c r="N196" s="2" t="s">
        <v>228</v>
      </c>
      <c r="O196" s="2" t="s">
        <v>46</v>
      </c>
      <c r="P196" s="2" t="s">
        <v>105</v>
      </c>
      <c r="Q196" s="3" t="n">
        <f aca="false">L196-M196</f>
        <v>-376.19</v>
      </c>
    </row>
    <row r="197" customFormat="false" ht="15" hidden="false" customHeight="false" outlineLevel="0" collapsed="false">
      <c r="A197" s="3" t="s">
        <v>465</v>
      </c>
      <c r="B197" s="3" t="s">
        <v>466</v>
      </c>
      <c r="C197" s="3" t="s">
        <v>19</v>
      </c>
      <c r="D197" s="3" t="s">
        <v>20</v>
      </c>
      <c r="E197" s="3" t="s">
        <v>21</v>
      </c>
      <c r="F197" s="3" t="s">
        <v>66</v>
      </c>
      <c r="G197" s="3" t="s">
        <v>67</v>
      </c>
      <c r="H197" s="3" t="s">
        <v>68</v>
      </c>
      <c r="I197" s="3" t="n">
        <v>46</v>
      </c>
      <c r="J197" s="3" t="n">
        <v>35</v>
      </c>
      <c r="K197" s="3" t="n">
        <v>0</v>
      </c>
      <c r="L197" s="3" t="n">
        <v>1610</v>
      </c>
      <c r="M197" s="3" t="n">
        <v>1493.96</v>
      </c>
      <c r="N197" s="3" t="s">
        <v>103</v>
      </c>
      <c r="O197" s="3" t="s">
        <v>46</v>
      </c>
      <c r="P197" s="3" t="s">
        <v>37</v>
      </c>
      <c r="Q197" s="3" t="n">
        <f aca="false">L197-M197</f>
        <v>116.04</v>
      </c>
    </row>
    <row r="198" customFormat="false" ht="15" hidden="false" customHeight="false" outlineLevel="0" collapsed="false">
      <c r="A198" s="2" t="s">
        <v>467</v>
      </c>
      <c r="B198" s="2" t="s">
        <v>218</v>
      </c>
      <c r="C198" s="2" t="s">
        <v>83</v>
      </c>
      <c r="D198" s="2" t="s">
        <v>84</v>
      </c>
      <c r="E198" s="2" t="s">
        <v>21</v>
      </c>
      <c r="F198" s="2" t="s">
        <v>43</v>
      </c>
      <c r="G198" s="2" t="s">
        <v>44</v>
      </c>
      <c r="H198" s="2" t="s">
        <v>35</v>
      </c>
      <c r="I198" s="2" t="n">
        <v>138</v>
      </c>
      <c r="J198" s="2" t="n">
        <v>85</v>
      </c>
      <c r="K198" s="2" t="n">
        <v>0</v>
      </c>
      <c r="L198" s="2" t="n">
        <v>11730</v>
      </c>
      <c r="M198" s="2" t="n">
        <v>12507.44</v>
      </c>
      <c r="N198" s="2" t="s">
        <v>339</v>
      </c>
      <c r="O198" s="2" t="s">
        <v>37</v>
      </c>
      <c r="P198" s="2" t="s">
        <v>105</v>
      </c>
      <c r="Q198" s="3" t="n">
        <f aca="false">L198-M198</f>
        <v>-777.440000000001</v>
      </c>
    </row>
    <row r="199" customFormat="false" ht="15" hidden="false" customHeight="false" outlineLevel="0" collapsed="false">
      <c r="A199" s="3" t="s">
        <v>468</v>
      </c>
      <c r="B199" s="3" t="s">
        <v>360</v>
      </c>
      <c r="C199" s="3" t="s">
        <v>40</v>
      </c>
      <c r="D199" s="3" t="s">
        <v>41</v>
      </c>
      <c r="E199" s="3" t="s">
        <v>42</v>
      </c>
      <c r="F199" s="3" t="s">
        <v>72</v>
      </c>
      <c r="G199" s="3" t="s">
        <v>73</v>
      </c>
      <c r="H199" s="3" t="s">
        <v>74</v>
      </c>
      <c r="I199" s="3" t="n">
        <v>100</v>
      </c>
      <c r="J199" s="3" t="n">
        <v>55</v>
      </c>
      <c r="K199" s="3" t="n">
        <v>10</v>
      </c>
      <c r="L199" s="3" t="n">
        <v>4950</v>
      </c>
      <c r="M199" s="3" t="n">
        <v>5031.61</v>
      </c>
      <c r="N199" s="3" t="s">
        <v>147</v>
      </c>
      <c r="O199" s="3" t="s">
        <v>52</v>
      </c>
      <c r="P199" s="3" t="s">
        <v>52</v>
      </c>
      <c r="Q199" s="3" t="n">
        <f aca="false">L199-M199</f>
        <v>-81.6099999999997</v>
      </c>
    </row>
    <row r="200" customFormat="false" ht="15" hidden="false" customHeight="false" outlineLevel="0" collapsed="false">
      <c r="A200" s="2" t="s">
        <v>469</v>
      </c>
      <c r="B200" s="2" t="s">
        <v>177</v>
      </c>
      <c r="C200" s="2" t="s">
        <v>64</v>
      </c>
      <c r="D200" s="2" t="s">
        <v>65</v>
      </c>
      <c r="E200" s="2" t="s">
        <v>32</v>
      </c>
      <c r="F200" s="2" t="s">
        <v>88</v>
      </c>
      <c r="G200" s="2" t="s">
        <v>89</v>
      </c>
      <c r="H200" s="2" t="s">
        <v>74</v>
      </c>
      <c r="I200" s="2" t="n">
        <v>188</v>
      </c>
      <c r="J200" s="2" t="n">
        <v>38</v>
      </c>
      <c r="K200" s="2" t="n">
        <v>0</v>
      </c>
      <c r="L200" s="2" t="n">
        <v>7144</v>
      </c>
      <c r="M200" s="2" t="n">
        <v>7513.83</v>
      </c>
      <c r="N200" s="2" t="s">
        <v>470</v>
      </c>
      <c r="O200" s="2" t="s">
        <v>46</v>
      </c>
      <c r="P200" s="2" t="s">
        <v>52</v>
      </c>
      <c r="Q200" s="3" t="n">
        <f aca="false">L200-M200</f>
        <v>-369.83</v>
      </c>
    </row>
    <row r="201" customFormat="false" ht="15" hidden="false" customHeight="false" outlineLevel="0" collapsed="false">
      <c r="A201" s="3" t="s">
        <v>471</v>
      </c>
      <c r="B201" s="3" t="s">
        <v>458</v>
      </c>
      <c r="C201" s="3" t="s">
        <v>77</v>
      </c>
      <c r="D201" s="3" t="s">
        <v>78</v>
      </c>
      <c r="E201" s="3" t="s">
        <v>79</v>
      </c>
      <c r="F201" s="3" t="s">
        <v>43</v>
      </c>
      <c r="G201" s="3" t="s">
        <v>44</v>
      </c>
      <c r="H201" s="3" t="s">
        <v>35</v>
      </c>
      <c r="I201" s="3" t="n">
        <v>49</v>
      </c>
      <c r="J201" s="3" t="n">
        <v>85</v>
      </c>
      <c r="K201" s="3" t="n">
        <v>5</v>
      </c>
      <c r="L201" s="3" t="n">
        <v>3956.75</v>
      </c>
      <c r="M201" s="3" t="n">
        <v>4371.36</v>
      </c>
      <c r="N201" s="3" t="s">
        <v>260</v>
      </c>
      <c r="O201" s="3" t="s">
        <v>26</v>
      </c>
      <c r="P201" s="3" t="s">
        <v>26</v>
      </c>
      <c r="Q201" s="3" t="n">
        <f aca="false">L201-M201</f>
        <v>-414.61</v>
      </c>
    </row>
    <row r="202" customFormat="false" ht="15" hidden="false" customHeight="false" outlineLevel="0" collapsed="false">
      <c r="A202" s="2" t="s">
        <v>472</v>
      </c>
      <c r="B202" s="2" t="s">
        <v>473</v>
      </c>
      <c r="C202" s="2" t="s">
        <v>77</v>
      </c>
      <c r="D202" s="2" t="s">
        <v>78</v>
      </c>
      <c r="E202" s="2" t="s">
        <v>79</v>
      </c>
      <c r="F202" s="2" t="s">
        <v>108</v>
      </c>
      <c r="G202" s="2" t="s">
        <v>109</v>
      </c>
      <c r="H202" s="2" t="s">
        <v>60</v>
      </c>
      <c r="I202" s="2" t="n">
        <v>36</v>
      </c>
      <c r="J202" s="2" t="n">
        <v>12.5</v>
      </c>
      <c r="K202" s="2" t="n">
        <v>15</v>
      </c>
      <c r="L202" s="2" t="n">
        <v>382.5</v>
      </c>
      <c r="M202" s="2" t="n">
        <v>474.52</v>
      </c>
      <c r="N202" s="2" t="s">
        <v>25</v>
      </c>
      <c r="O202" s="2" t="s">
        <v>52</v>
      </c>
      <c r="P202" s="2" t="s">
        <v>37</v>
      </c>
      <c r="Q202" s="3" t="n">
        <f aca="false">L202-M202</f>
        <v>-92.02</v>
      </c>
    </row>
    <row r="203" customFormat="false" ht="15" hidden="false" customHeight="false" outlineLevel="0" collapsed="false">
      <c r="A203" s="3" t="s">
        <v>474</v>
      </c>
      <c r="B203" s="3" t="s">
        <v>475</v>
      </c>
      <c r="C203" s="3" t="s">
        <v>55</v>
      </c>
      <c r="D203" s="3" t="s">
        <v>56</v>
      </c>
      <c r="E203" s="3" t="s">
        <v>57</v>
      </c>
      <c r="F203" s="3" t="s">
        <v>22</v>
      </c>
      <c r="G203" s="3" t="s">
        <v>23</v>
      </c>
      <c r="H203" s="3" t="s">
        <v>24</v>
      </c>
      <c r="I203" s="3" t="n">
        <v>145</v>
      </c>
      <c r="J203" s="3" t="n">
        <v>32</v>
      </c>
      <c r="K203" s="3" t="n">
        <v>0</v>
      </c>
      <c r="L203" s="3" t="n">
        <v>4640</v>
      </c>
      <c r="M203" s="3" t="n">
        <v>5077.16</v>
      </c>
      <c r="N203" s="3" t="s">
        <v>168</v>
      </c>
      <c r="O203" s="3" t="s">
        <v>46</v>
      </c>
      <c r="P203" s="3" t="s">
        <v>27</v>
      </c>
      <c r="Q203" s="3" t="n">
        <f aca="false">L203-M203</f>
        <v>-437.16</v>
      </c>
    </row>
    <row r="204" customFormat="false" ht="15" hidden="false" customHeight="false" outlineLevel="0" collapsed="false">
      <c r="A204" s="2" t="s">
        <v>476</v>
      </c>
      <c r="B204" s="2" t="s">
        <v>477</v>
      </c>
      <c r="C204" s="2" t="s">
        <v>40</v>
      </c>
      <c r="D204" s="2" t="s">
        <v>41</v>
      </c>
      <c r="E204" s="2" t="s">
        <v>42</v>
      </c>
      <c r="F204" s="2" t="s">
        <v>22</v>
      </c>
      <c r="G204" s="2" t="s">
        <v>23</v>
      </c>
      <c r="H204" s="2" t="s">
        <v>24</v>
      </c>
      <c r="I204" s="2" t="n">
        <v>180</v>
      </c>
      <c r="J204" s="2" t="n">
        <v>32</v>
      </c>
      <c r="K204" s="2" t="n">
        <v>5</v>
      </c>
      <c r="L204" s="2" t="n">
        <v>5472</v>
      </c>
      <c r="M204" s="2" t="n">
        <v>5559.76</v>
      </c>
      <c r="N204" s="2" t="s">
        <v>379</v>
      </c>
      <c r="O204" s="2" t="s">
        <v>46</v>
      </c>
      <c r="P204" s="2" t="s">
        <v>26</v>
      </c>
      <c r="Q204" s="3" t="n">
        <f aca="false">L204-M204</f>
        <v>-87.7600000000002</v>
      </c>
    </row>
    <row r="205" customFormat="false" ht="15" hidden="false" customHeight="false" outlineLevel="0" collapsed="false">
      <c r="A205" s="3" t="s">
        <v>478</v>
      </c>
      <c r="B205" s="3" t="s">
        <v>479</v>
      </c>
      <c r="C205" s="3" t="s">
        <v>40</v>
      </c>
      <c r="D205" s="3" t="s">
        <v>41</v>
      </c>
      <c r="E205" s="3" t="s">
        <v>42</v>
      </c>
      <c r="F205" s="3" t="s">
        <v>88</v>
      </c>
      <c r="G205" s="3" t="s">
        <v>89</v>
      </c>
      <c r="H205" s="3" t="s">
        <v>74</v>
      </c>
      <c r="I205" s="3" t="n">
        <v>164</v>
      </c>
      <c r="J205" s="3" t="n">
        <v>38</v>
      </c>
      <c r="K205" s="3" t="n">
        <v>15</v>
      </c>
      <c r="L205" s="3" t="n">
        <v>5297.2</v>
      </c>
      <c r="M205" s="3" t="n">
        <v>6139.91</v>
      </c>
      <c r="N205" s="3" t="s">
        <v>379</v>
      </c>
      <c r="O205" s="3" t="s">
        <v>37</v>
      </c>
      <c r="P205" s="3" t="s">
        <v>52</v>
      </c>
      <c r="Q205" s="3" t="n">
        <f aca="false">L205-M205</f>
        <v>-842.71</v>
      </c>
    </row>
    <row r="206" customFormat="false" ht="15" hidden="false" customHeight="false" outlineLevel="0" collapsed="false">
      <c r="A206" s="2" t="s">
        <v>480</v>
      </c>
      <c r="B206" s="2" t="s">
        <v>481</v>
      </c>
      <c r="C206" s="2" t="s">
        <v>77</v>
      </c>
      <c r="D206" s="2" t="s">
        <v>78</v>
      </c>
      <c r="E206" s="2" t="s">
        <v>79</v>
      </c>
      <c r="F206" s="2" t="s">
        <v>58</v>
      </c>
      <c r="G206" s="2" t="s">
        <v>59</v>
      </c>
      <c r="H206" s="2" t="s">
        <v>60</v>
      </c>
      <c r="I206" s="2" t="n">
        <v>108</v>
      </c>
      <c r="J206" s="2" t="n">
        <v>18</v>
      </c>
      <c r="K206" s="2" t="n">
        <v>0</v>
      </c>
      <c r="L206" s="2" t="n">
        <v>1944</v>
      </c>
      <c r="M206" s="2" t="n">
        <v>1923.29</v>
      </c>
      <c r="N206" s="2" t="s">
        <v>130</v>
      </c>
      <c r="O206" s="2" t="s">
        <v>37</v>
      </c>
      <c r="P206" s="2" t="s">
        <v>26</v>
      </c>
      <c r="Q206" s="3" t="n">
        <f aca="false">L206-M206</f>
        <v>20.71</v>
      </c>
    </row>
    <row r="207" customFormat="false" ht="15" hidden="false" customHeight="false" outlineLevel="0" collapsed="false">
      <c r="A207" s="3" t="s">
        <v>482</v>
      </c>
      <c r="B207" s="3" t="s">
        <v>165</v>
      </c>
      <c r="C207" s="3" t="s">
        <v>55</v>
      </c>
      <c r="D207" s="3" t="s">
        <v>56</v>
      </c>
      <c r="E207" s="3" t="s">
        <v>57</v>
      </c>
      <c r="F207" s="3" t="s">
        <v>98</v>
      </c>
      <c r="G207" s="3" t="s">
        <v>99</v>
      </c>
      <c r="H207" s="3" t="s">
        <v>68</v>
      </c>
      <c r="I207" s="3" t="n">
        <v>182</v>
      </c>
      <c r="J207" s="3" t="n">
        <v>22</v>
      </c>
      <c r="K207" s="3" t="n">
        <v>15</v>
      </c>
      <c r="L207" s="3" t="n">
        <v>3403.4</v>
      </c>
      <c r="M207" s="3" t="n">
        <v>4391.72</v>
      </c>
      <c r="N207" s="3" t="s">
        <v>353</v>
      </c>
      <c r="O207" s="3" t="s">
        <v>26</v>
      </c>
      <c r="P207" s="3" t="s">
        <v>27</v>
      </c>
      <c r="Q207" s="3" t="n">
        <f aca="false">L207-M207</f>
        <v>-988.32</v>
      </c>
    </row>
    <row r="208" customFormat="false" ht="15" hidden="false" customHeight="false" outlineLevel="0" collapsed="false">
      <c r="A208" s="2" t="s">
        <v>483</v>
      </c>
      <c r="B208" s="2" t="s">
        <v>484</v>
      </c>
      <c r="C208" s="2" t="s">
        <v>19</v>
      </c>
      <c r="D208" s="2" t="s">
        <v>20</v>
      </c>
      <c r="E208" s="2" t="s">
        <v>21</v>
      </c>
      <c r="F208" s="2" t="s">
        <v>88</v>
      </c>
      <c r="G208" s="2" t="s">
        <v>89</v>
      </c>
      <c r="H208" s="2" t="s">
        <v>74</v>
      </c>
      <c r="I208" s="2" t="n">
        <v>150</v>
      </c>
      <c r="J208" s="2" t="n">
        <v>38</v>
      </c>
      <c r="K208" s="2" t="n">
        <v>0</v>
      </c>
      <c r="L208" s="2" t="n">
        <v>5700</v>
      </c>
      <c r="M208" s="2" t="n">
        <v>5648.5</v>
      </c>
      <c r="N208" s="2" t="s">
        <v>61</v>
      </c>
      <c r="O208" s="2" t="s">
        <v>37</v>
      </c>
      <c r="P208" s="2" t="s">
        <v>26</v>
      </c>
      <c r="Q208" s="3" t="n">
        <f aca="false">L208-M208</f>
        <v>51.5</v>
      </c>
    </row>
    <row r="209" customFormat="false" ht="15" hidden="false" customHeight="false" outlineLevel="0" collapsed="false">
      <c r="A209" s="3" t="s">
        <v>485</v>
      </c>
      <c r="B209" s="3" t="s">
        <v>123</v>
      </c>
      <c r="C209" s="3" t="s">
        <v>83</v>
      </c>
      <c r="D209" s="3" t="s">
        <v>84</v>
      </c>
      <c r="E209" s="3" t="s">
        <v>21</v>
      </c>
      <c r="F209" s="3" t="s">
        <v>108</v>
      </c>
      <c r="G209" s="3" t="s">
        <v>109</v>
      </c>
      <c r="H209" s="3" t="s">
        <v>60</v>
      </c>
      <c r="I209" s="3" t="n">
        <v>89</v>
      </c>
      <c r="J209" s="3" t="n">
        <v>12.5</v>
      </c>
      <c r="K209" s="3" t="n">
        <v>5</v>
      </c>
      <c r="L209" s="3" t="n">
        <v>1056.88</v>
      </c>
      <c r="M209" s="3" t="n">
        <v>1008.67</v>
      </c>
      <c r="N209" s="3" t="s">
        <v>100</v>
      </c>
      <c r="O209" s="3" t="s">
        <v>52</v>
      </c>
      <c r="P209" s="3" t="s">
        <v>105</v>
      </c>
      <c r="Q209" s="3" t="n">
        <f aca="false">L209-M209</f>
        <v>48.2100000000002</v>
      </c>
    </row>
    <row r="210" customFormat="false" ht="15" hidden="false" customHeight="false" outlineLevel="0" collapsed="false">
      <c r="A210" s="2" t="s">
        <v>486</v>
      </c>
      <c r="B210" s="2" t="s">
        <v>487</v>
      </c>
      <c r="C210" s="2" t="s">
        <v>64</v>
      </c>
      <c r="D210" s="2" t="s">
        <v>65</v>
      </c>
      <c r="E210" s="2" t="s">
        <v>32</v>
      </c>
      <c r="F210" s="2" t="s">
        <v>49</v>
      </c>
      <c r="G210" s="2" t="s">
        <v>50</v>
      </c>
      <c r="H210" s="2" t="s">
        <v>24</v>
      </c>
      <c r="I210" s="2" t="n">
        <v>160</v>
      </c>
      <c r="J210" s="2" t="n">
        <v>28</v>
      </c>
      <c r="K210" s="2" t="n">
        <v>0</v>
      </c>
      <c r="L210" s="2" t="n">
        <v>4480</v>
      </c>
      <c r="M210" s="2" t="n">
        <v>4038.44</v>
      </c>
      <c r="N210" s="2" t="s">
        <v>163</v>
      </c>
      <c r="O210" s="2" t="s">
        <v>104</v>
      </c>
      <c r="P210" s="2" t="s">
        <v>27</v>
      </c>
      <c r="Q210" s="3" t="n">
        <f aca="false">L210-M210</f>
        <v>441.56</v>
      </c>
    </row>
    <row r="211" customFormat="false" ht="15" hidden="false" customHeight="false" outlineLevel="0" collapsed="false">
      <c r="A211" s="3" t="s">
        <v>488</v>
      </c>
      <c r="B211" s="3" t="s">
        <v>249</v>
      </c>
      <c r="C211" s="3" t="s">
        <v>19</v>
      </c>
      <c r="D211" s="3" t="s">
        <v>20</v>
      </c>
      <c r="E211" s="3" t="s">
        <v>21</v>
      </c>
      <c r="F211" s="3" t="s">
        <v>58</v>
      </c>
      <c r="G211" s="3" t="s">
        <v>59</v>
      </c>
      <c r="H211" s="3" t="s">
        <v>60</v>
      </c>
      <c r="I211" s="3" t="n">
        <v>103</v>
      </c>
      <c r="J211" s="3" t="n">
        <v>18</v>
      </c>
      <c r="K211" s="3" t="n">
        <v>15</v>
      </c>
      <c r="L211" s="3" t="n">
        <v>1575.9</v>
      </c>
      <c r="M211" s="3" t="n">
        <v>1935.42</v>
      </c>
      <c r="N211" s="3" t="s">
        <v>184</v>
      </c>
      <c r="O211" s="3" t="s">
        <v>37</v>
      </c>
      <c r="P211" s="3" t="s">
        <v>37</v>
      </c>
      <c r="Q211" s="3" t="n">
        <f aca="false">L211-M211</f>
        <v>-359.52</v>
      </c>
    </row>
    <row r="212" customFormat="false" ht="15" hidden="false" customHeight="false" outlineLevel="0" collapsed="false">
      <c r="A212" s="2" t="s">
        <v>489</v>
      </c>
      <c r="B212" s="2" t="s">
        <v>490</v>
      </c>
      <c r="C212" s="2" t="s">
        <v>55</v>
      </c>
      <c r="D212" s="2" t="s">
        <v>56</v>
      </c>
      <c r="E212" s="2" t="s">
        <v>57</v>
      </c>
      <c r="F212" s="2" t="s">
        <v>66</v>
      </c>
      <c r="G212" s="2" t="s">
        <v>67</v>
      </c>
      <c r="H212" s="2" t="s">
        <v>68</v>
      </c>
      <c r="I212" s="2" t="n">
        <v>86</v>
      </c>
      <c r="J212" s="2" t="n">
        <v>35</v>
      </c>
      <c r="K212" s="2" t="n">
        <v>10</v>
      </c>
      <c r="L212" s="2" t="n">
        <v>2709</v>
      </c>
      <c r="M212" s="2" t="n">
        <v>3305</v>
      </c>
      <c r="N212" s="2" t="s">
        <v>187</v>
      </c>
      <c r="O212" s="2" t="s">
        <v>46</v>
      </c>
      <c r="P212" s="2" t="s">
        <v>37</v>
      </c>
      <c r="Q212" s="3" t="n">
        <f aca="false">L212-M212</f>
        <v>-596</v>
      </c>
    </row>
    <row r="213" customFormat="false" ht="15" hidden="false" customHeight="false" outlineLevel="0" collapsed="false">
      <c r="A213" s="3" t="s">
        <v>491</v>
      </c>
      <c r="B213" s="3" t="s">
        <v>492</v>
      </c>
      <c r="C213" s="3" t="s">
        <v>161</v>
      </c>
      <c r="D213" s="3" t="s">
        <v>162</v>
      </c>
      <c r="E213" s="3" t="s">
        <v>57</v>
      </c>
      <c r="F213" s="3" t="s">
        <v>43</v>
      </c>
      <c r="G213" s="3" t="s">
        <v>44</v>
      </c>
      <c r="H213" s="3" t="s">
        <v>35</v>
      </c>
      <c r="I213" s="3" t="n">
        <v>67</v>
      </c>
      <c r="J213" s="3" t="n">
        <v>85</v>
      </c>
      <c r="K213" s="3" t="n">
        <v>0</v>
      </c>
      <c r="L213" s="3" t="n">
        <v>5695</v>
      </c>
      <c r="M213" s="3" t="n">
        <v>5293.34</v>
      </c>
      <c r="N213" s="3" t="s">
        <v>440</v>
      </c>
      <c r="O213" s="3" t="s">
        <v>26</v>
      </c>
      <c r="P213" s="3" t="s">
        <v>105</v>
      </c>
      <c r="Q213" s="3" t="n">
        <f aca="false">L213-M213</f>
        <v>401.66</v>
      </c>
    </row>
    <row r="214" customFormat="false" ht="15" hidden="false" customHeight="false" outlineLevel="0" collapsed="false">
      <c r="A214" s="2" t="s">
        <v>493</v>
      </c>
      <c r="B214" s="2" t="s">
        <v>494</v>
      </c>
      <c r="C214" s="2" t="s">
        <v>77</v>
      </c>
      <c r="D214" s="2" t="s">
        <v>78</v>
      </c>
      <c r="E214" s="2" t="s">
        <v>79</v>
      </c>
      <c r="F214" s="2" t="s">
        <v>108</v>
      </c>
      <c r="G214" s="2" t="s">
        <v>109</v>
      </c>
      <c r="H214" s="2" t="s">
        <v>60</v>
      </c>
      <c r="I214" s="2" t="n">
        <v>17</v>
      </c>
      <c r="J214" s="2" t="n">
        <v>12.5</v>
      </c>
      <c r="K214" s="2" t="n">
        <v>0</v>
      </c>
      <c r="L214" s="2" t="n">
        <v>212.5</v>
      </c>
      <c r="M214" s="2" t="n">
        <v>199.72</v>
      </c>
      <c r="N214" s="2" t="s">
        <v>280</v>
      </c>
      <c r="O214" s="2" t="s">
        <v>104</v>
      </c>
      <c r="P214" s="2" t="s">
        <v>37</v>
      </c>
      <c r="Q214" s="3" t="n">
        <f aca="false">L214-M214</f>
        <v>12.78</v>
      </c>
    </row>
    <row r="215" customFormat="false" ht="15" hidden="false" customHeight="false" outlineLevel="0" collapsed="false">
      <c r="A215" s="3" t="s">
        <v>495</v>
      </c>
      <c r="B215" s="3" t="s">
        <v>496</v>
      </c>
      <c r="C215" s="3" t="s">
        <v>19</v>
      </c>
      <c r="D215" s="3" t="s">
        <v>20</v>
      </c>
      <c r="E215" s="3" t="s">
        <v>21</v>
      </c>
      <c r="F215" s="3" t="s">
        <v>33</v>
      </c>
      <c r="G215" s="3" t="s">
        <v>34</v>
      </c>
      <c r="H215" s="3" t="s">
        <v>35</v>
      </c>
      <c r="I215" s="3" t="n">
        <v>110</v>
      </c>
      <c r="J215" s="3" t="n">
        <v>45</v>
      </c>
      <c r="K215" s="3" t="n">
        <v>10</v>
      </c>
      <c r="L215" s="3" t="n">
        <v>4455</v>
      </c>
      <c r="M215" s="3" t="n">
        <v>5013.75</v>
      </c>
      <c r="N215" s="3" t="s">
        <v>280</v>
      </c>
      <c r="O215" s="3" t="s">
        <v>26</v>
      </c>
      <c r="P215" s="3" t="s">
        <v>27</v>
      </c>
      <c r="Q215" s="3" t="n">
        <f aca="false">L215-M215</f>
        <v>-558.75</v>
      </c>
    </row>
    <row r="216" customFormat="false" ht="15" hidden="false" customHeight="false" outlineLevel="0" collapsed="false">
      <c r="A216" s="2" t="s">
        <v>497</v>
      </c>
      <c r="B216" s="2" t="s">
        <v>484</v>
      </c>
      <c r="C216" s="2" t="s">
        <v>40</v>
      </c>
      <c r="D216" s="2" t="s">
        <v>41</v>
      </c>
      <c r="E216" s="2" t="s">
        <v>42</v>
      </c>
      <c r="F216" s="2" t="s">
        <v>66</v>
      </c>
      <c r="G216" s="2" t="s">
        <v>67</v>
      </c>
      <c r="H216" s="2" t="s">
        <v>68</v>
      </c>
      <c r="I216" s="2" t="n">
        <v>130</v>
      </c>
      <c r="J216" s="2" t="n">
        <v>35</v>
      </c>
      <c r="K216" s="2" t="n">
        <v>0</v>
      </c>
      <c r="L216" s="2" t="n">
        <v>4550</v>
      </c>
      <c r="M216" s="2" t="n">
        <v>4510.68</v>
      </c>
      <c r="N216" s="2" t="s">
        <v>304</v>
      </c>
      <c r="O216" s="2" t="s">
        <v>104</v>
      </c>
      <c r="P216" s="2" t="s">
        <v>52</v>
      </c>
      <c r="Q216" s="3" t="n">
        <f aca="false">L216-M216</f>
        <v>39.3199999999997</v>
      </c>
    </row>
    <row r="217" customFormat="false" ht="15" hidden="false" customHeight="false" outlineLevel="0" collapsed="false">
      <c r="A217" s="3" t="s">
        <v>498</v>
      </c>
      <c r="B217" s="3" t="s">
        <v>499</v>
      </c>
      <c r="C217" s="3" t="s">
        <v>19</v>
      </c>
      <c r="D217" s="3" t="s">
        <v>20</v>
      </c>
      <c r="E217" s="3" t="s">
        <v>21</v>
      </c>
      <c r="F217" s="3" t="s">
        <v>22</v>
      </c>
      <c r="G217" s="3" t="s">
        <v>23</v>
      </c>
      <c r="H217" s="3" t="s">
        <v>24</v>
      </c>
      <c r="I217" s="3" t="n">
        <v>166</v>
      </c>
      <c r="J217" s="3" t="n">
        <v>32</v>
      </c>
      <c r="K217" s="3" t="n">
        <v>15</v>
      </c>
      <c r="L217" s="3" t="n">
        <v>4515.2</v>
      </c>
      <c r="M217" s="3" t="n">
        <v>5342.75</v>
      </c>
      <c r="N217" s="3" t="s">
        <v>253</v>
      </c>
      <c r="O217" s="3" t="s">
        <v>37</v>
      </c>
      <c r="P217" s="3" t="s">
        <v>37</v>
      </c>
      <c r="Q217" s="3" t="n">
        <f aca="false">L217-M217</f>
        <v>-827.55</v>
      </c>
    </row>
    <row r="218" customFormat="false" ht="15" hidden="false" customHeight="false" outlineLevel="0" collapsed="false">
      <c r="A218" s="2" t="s">
        <v>500</v>
      </c>
      <c r="B218" s="2" t="s">
        <v>501</v>
      </c>
      <c r="C218" s="2" t="s">
        <v>161</v>
      </c>
      <c r="D218" s="2" t="s">
        <v>162</v>
      </c>
      <c r="E218" s="2" t="s">
        <v>57</v>
      </c>
      <c r="F218" s="2" t="s">
        <v>58</v>
      </c>
      <c r="G218" s="2" t="s">
        <v>59</v>
      </c>
      <c r="H218" s="2" t="s">
        <v>60</v>
      </c>
      <c r="I218" s="2" t="n">
        <v>34</v>
      </c>
      <c r="J218" s="2" t="n">
        <v>18</v>
      </c>
      <c r="K218" s="2" t="n">
        <v>15</v>
      </c>
      <c r="L218" s="2" t="n">
        <v>520.2</v>
      </c>
      <c r="M218" s="2" t="n">
        <v>641.23</v>
      </c>
      <c r="N218" s="2" t="s">
        <v>243</v>
      </c>
      <c r="O218" s="2" t="s">
        <v>52</v>
      </c>
      <c r="P218" s="2" t="s">
        <v>37</v>
      </c>
      <c r="Q218" s="3" t="n">
        <f aca="false">L218-M218</f>
        <v>-121.03</v>
      </c>
    </row>
    <row r="219" customFormat="false" ht="15" hidden="false" customHeight="false" outlineLevel="0" collapsed="false">
      <c r="A219" s="3" t="s">
        <v>486</v>
      </c>
      <c r="B219" s="3" t="s">
        <v>487</v>
      </c>
      <c r="C219" s="3" t="s">
        <v>64</v>
      </c>
      <c r="D219" s="3" t="s">
        <v>65</v>
      </c>
      <c r="E219" s="3" t="s">
        <v>32</v>
      </c>
      <c r="F219" s="3" t="s">
        <v>49</v>
      </c>
      <c r="G219" s="3" t="s">
        <v>50</v>
      </c>
      <c r="H219" s="3" t="s">
        <v>24</v>
      </c>
      <c r="I219" s="3" t="n">
        <v>160</v>
      </c>
      <c r="J219" s="3" t="n">
        <v>28</v>
      </c>
      <c r="K219" s="3" t="n">
        <v>0</v>
      </c>
      <c r="L219" s="3" t="n">
        <v>4480</v>
      </c>
      <c r="M219" s="3" t="n">
        <v>4038.44</v>
      </c>
      <c r="N219" s="3" t="s">
        <v>163</v>
      </c>
      <c r="O219" s="3" t="s">
        <v>104</v>
      </c>
      <c r="P219" s="3" t="s">
        <v>27</v>
      </c>
      <c r="Q219" s="3" t="n">
        <f aca="false">L219-M219</f>
        <v>441.56</v>
      </c>
    </row>
    <row r="220" customFormat="false" ht="15" hidden="false" customHeight="false" outlineLevel="0" collapsed="false">
      <c r="A220" s="2" t="s">
        <v>502</v>
      </c>
      <c r="B220" s="2" t="s">
        <v>503</v>
      </c>
      <c r="C220" s="2" t="s">
        <v>19</v>
      </c>
      <c r="D220" s="2" t="s">
        <v>20</v>
      </c>
      <c r="E220" s="2" t="s">
        <v>21</v>
      </c>
      <c r="F220" s="2" t="s">
        <v>58</v>
      </c>
      <c r="G220" s="2" t="s">
        <v>59</v>
      </c>
      <c r="H220" s="2" t="s">
        <v>60</v>
      </c>
      <c r="I220" s="2" t="n">
        <v>43</v>
      </c>
      <c r="J220" s="2" t="n">
        <v>18</v>
      </c>
      <c r="K220" s="2" t="n">
        <v>10</v>
      </c>
      <c r="L220" s="2" t="n">
        <v>696.6</v>
      </c>
      <c r="M220" s="2" t="n">
        <v>760.91</v>
      </c>
      <c r="N220" s="2" t="s">
        <v>45</v>
      </c>
      <c r="O220" s="2" t="s">
        <v>46</v>
      </c>
      <c r="P220" s="2" t="s">
        <v>27</v>
      </c>
      <c r="Q220" s="3" t="n">
        <f aca="false">L220-M220</f>
        <v>-64.31</v>
      </c>
    </row>
    <row r="221" customFormat="false" ht="15" hidden="false" customHeight="false" outlineLevel="0" collapsed="false">
      <c r="A221" s="3" t="s">
        <v>504</v>
      </c>
      <c r="B221" s="3" t="s">
        <v>505</v>
      </c>
      <c r="C221" s="3" t="s">
        <v>83</v>
      </c>
      <c r="D221" s="3" t="s">
        <v>84</v>
      </c>
      <c r="E221" s="3" t="s">
        <v>21</v>
      </c>
      <c r="F221" s="3" t="s">
        <v>58</v>
      </c>
      <c r="G221" s="3" t="s">
        <v>59</v>
      </c>
      <c r="H221" s="3" t="s">
        <v>60</v>
      </c>
      <c r="I221" s="3" t="n">
        <v>77</v>
      </c>
      <c r="J221" s="3" t="n">
        <v>18</v>
      </c>
      <c r="K221" s="3" t="n">
        <v>0</v>
      </c>
      <c r="L221" s="3" t="n">
        <v>1386</v>
      </c>
      <c r="M221" s="3" t="n">
        <v>1420.17</v>
      </c>
      <c r="N221" s="3" t="s">
        <v>116</v>
      </c>
      <c r="O221" s="3" t="s">
        <v>37</v>
      </c>
      <c r="P221" s="3" t="s">
        <v>27</v>
      </c>
      <c r="Q221" s="3" t="n">
        <f aca="false">L221-M221</f>
        <v>-34.1700000000001</v>
      </c>
    </row>
    <row r="222" customFormat="false" ht="15" hidden="false" customHeight="false" outlineLevel="0" collapsed="false">
      <c r="A222" s="2" t="s">
        <v>506</v>
      </c>
      <c r="B222" s="2" t="s">
        <v>507</v>
      </c>
      <c r="C222" s="2" t="s">
        <v>55</v>
      </c>
      <c r="D222" s="2" t="s">
        <v>56</v>
      </c>
      <c r="E222" s="2" t="s">
        <v>57</v>
      </c>
      <c r="F222" s="2" t="s">
        <v>66</v>
      </c>
      <c r="G222" s="2" t="s">
        <v>67</v>
      </c>
      <c r="H222" s="2" t="s">
        <v>68</v>
      </c>
      <c r="I222" s="2" t="n">
        <v>116</v>
      </c>
      <c r="J222" s="2" t="n">
        <v>35</v>
      </c>
      <c r="K222" s="2" t="n">
        <v>0</v>
      </c>
      <c r="L222" s="2" t="n">
        <v>4060</v>
      </c>
      <c r="M222" s="2" t="n">
        <v>3829.04</v>
      </c>
      <c r="N222" s="2" t="s">
        <v>205</v>
      </c>
      <c r="O222" s="2" t="s">
        <v>37</v>
      </c>
      <c r="P222" s="2" t="s">
        <v>27</v>
      </c>
      <c r="Q222" s="3" t="n">
        <f aca="false">L222-M222</f>
        <v>230.96</v>
      </c>
    </row>
    <row r="223" customFormat="false" ht="15" hidden="false" customHeight="false" outlineLevel="0" collapsed="false">
      <c r="A223" s="3" t="s">
        <v>508</v>
      </c>
      <c r="B223" s="3" t="s">
        <v>216</v>
      </c>
      <c r="C223" s="3" t="s">
        <v>40</v>
      </c>
      <c r="D223" s="3" t="s">
        <v>41</v>
      </c>
      <c r="E223" s="3" t="s">
        <v>42</v>
      </c>
      <c r="F223" s="3" t="s">
        <v>72</v>
      </c>
      <c r="G223" s="3" t="s">
        <v>73</v>
      </c>
      <c r="H223" s="3" t="s">
        <v>74</v>
      </c>
      <c r="I223" s="3" t="n">
        <v>85</v>
      </c>
      <c r="J223" s="3" t="n">
        <v>55</v>
      </c>
      <c r="K223" s="3" t="n">
        <v>5</v>
      </c>
      <c r="L223" s="3" t="n">
        <v>4441.25</v>
      </c>
      <c r="M223" s="3" t="n">
        <v>4355.38</v>
      </c>
      <c r="N223" s="3" t="s">
        <v>168</v>
      </c>
      <c r="O223" s="3" t="s">
        <v>46</v>
      </c>
      <c r="P223" s="3" t="s">
        <v>26</v>
      </c>
      <c r="Q223" s="3" t="n">
        <f aca="false">L223-M223</f>
        <v>85.8699999999999</v>
      </c>
    </row>
    <row r="224" customFormat="false" ht="15" hidden="false" customHeight="false" outlineLevel="0" collapsed="false">
      <c r="A224" s="2" t="s">
        <v>509</v>
      </c>
      <c r="B224" s="2" t="s">
        <v>510</v>
      </c>
      <c r="C224" s="2" t="s">
        <v>77</v>
      </c>
      <c r="D224" s="2" t="s">
        <v>78</v>
      </c>
      <c r="E224" s="2" t="s">
        <v>79</v>
      </c>
      <c r="F224" s="2" t="s">
        <v>66</v>
      </c>
      <c r="G224" s="2" t="s">
        <v>67</v>
      </c>
      <c r="H224" s="2" t="s">
        <v>68</v>
      </c>
      <c r="I224" s="2" t="n">
        <v>33</v>
      </c>
      <c r="J224" s="2" t="n">
        <v>35</v>
      </c>
      <c r="K224" s="2" t="n">
        <v>5</v>
      </c>
      <c r="L224" s="2" t="n">
        <v>1097.25</v>
      </c>
      <c r="M224" s="2" t="n">
        <v>1042.72</v>
      </c>
      <c r="N224" s="2" t="s">
        <v>225</v>
      </c>
      <c r="O224" s="2" t="s">
        <v>26</v>
      </c>
      <c r="P224" s="2" t="s">
        <v>27</v>
      </c>
      <c r="Q224" s="3" t="n">
        <f aca="false">L224-M224</f>
        <v>54.53</v>
      </c>
    </row>
    <row r="225" customFormat="false" ht="15" hidden="false" customHeight="false" outlineLevel="0" collapsed="false">
      <c r="A225" s="3" t="s">
        <v>511</v>
      </c>
      <c r="B225" s="3" t="s">
        <v>512</v>
      </c>
      <c r="C225" s="3" t="s">
        <v>30</v>
      </c>
      <c r="D225" s="3" t="s">
        <v>31</v>
      </c>
      <c r="E225" s="3" t="s">
        <v>32</v>
      </c>
      <c r="F225" s="3" t="s">
        <v>33</v>
      </c>
      <c r="G225" s="3" t="s">
        <v>34</v>
      </c>
      <c r="H225" s="3" t="s">
        <v>35</v>
      </c>
      <c r="I225" s="3" t="n">
        <v>137</v>
      </c>
      <c r="J225" s="3" t="n">
        <v>45</v>
      </c>
      <c r="K225" s="3" t="n">
        <v>10</v>
      </c>
      <c r="L225" s="3" t="n">
        <v>5548.5</v>
      </c>
      <c r="M225" s="3" t="n">
        <v>6124.08</v>
      </c>
      <c r="N225" s="3" t="s">
        <v>187</v>
      </c>
      <c r="O225" s="3" t="s">
        <v>52</v>
      </c>
      <c r="P225" s="3" t="s">
        <v>52</v>
      </c>
      <c r="Q225" s="3" t="n">
        <f aca="false">L225-M225</f>
        <v>-575.58</v>
      </c>
    </row>
    <row r="226" customFormat="false" ht="15" hidden="false" customHeight="false" outlineLevel="0" collapsed="false">
      <c r="A226" s="2" t="s">
        <v>513</v>
      </c>
      <c r="B226" s="2" t="s">
        <v>514</v>
      </c>
      <c r="C226" s="2" t="s">
        <v>77</v>
      </c>
      <c r="D226" s="2" t="s">
        <v>78</v>
      </c>
      <c r="E226" s="2" t="s">
        <v>79</v>
      </c>
      <c r="F226" s="2" t="s">
        <v>72</v>
      </c>
      <c r="G226" s="2" t="s">
        <v>73</v>
      </c>
      <c r="H226" s="2" t="s">
        <v>74</v>
      </c>
      <c r="I226" s="2" t="n">
        <v>185</v>
      </c>
      <c r="J226" s="2" t="n">
        <v>55</v>
      </c>
      <c r="K226" s="2" t="n">
        <v>15</v>
      </c>
      <c r="L226" s="2" t="n">
        <v>8648.75</v>
      </c>
      <c r="M226" s="2" t="n">
        <v>10893.18</v>
      </c>
      <c r="N226" s="2" t="s">
        <v>205</v>
      </c>
      <c r="O226" s="2" t="s">
        <v>37</v>
      </c>
      <c r="P226" s="2" t="s">
        <v>52</v>
      </c>
      <c r="Q226" s="3" t="n">
        <f aca="false">L226-M226</f>
        <v>-2244.43</v>
      </c>
    </row>
    <row r="227" customFormat="false" ht="15" hidden="false" customHeight="false" outlineLevel="0" collapsed="false">
      <c r="A227" s="3" t="s">
        <v>515</v>
      </c>
      <c r="B227" s="3" t="s">
        <v>516</v>
      </c>
      <c r="C227" s="3" t="s">
        <v>64</v>
      </c>
      <c r="D227" s="3" t="s">
        <v>65</v>
      </c>
      <c r="E227" s="3" t="s">
        <v>32</v>
      </c>
      <c r="F227" s="3" t="s">
        <v>33</v>
      </c>
      <c r="G227" s="3" t="s">
        <v>34</v>
      </c>
      <c r="H227" s="3" t="s">
        <v>35</v>
      </c>
      <c r="I227" s="3" t="n">
        <v>90</v>
      </c>
      <c r="J227" s="3" t="n">
        <v>45</v>
      </c>
      <c r="K227" s="3" t="n">
        <v>0</v>
      </c>
      <c r="L227" s="3" t="n">
        <v>4050</v>
      </c>
      <c r="M227" s="3" t="n">
        <v>4062.46</v>
      </c>
      <c r="N227" s="3" t="s">
        <v>225</v>
      </c>
      <c r="O227" s="3" t="s">
        <v>37</v>
      </c>
      <c r="P227" s="3" t="s">
        <v>52</v>
      </c>
      <c r="Q227" s="3" t="n">
        <f aca="false">L227-M227</f>
        <v>-12.46</v>
      </c>
    </row>
    <row r="228" customFormat="false" ht="15" hidden="false" customHeight="false" outlineLevel="0" collapsed="false">
      <c r="A228" s="2" t="s">
        <v>517</v>
      </c>
      <c r="B228" s="2" t="s">
        <v>518</v>
      </c>
      <c r="C228" s="2" t="s">
        <v>30</v>
      </c>
      <c r="D228" s="2" t="s">
        <v>31</v>
      </c>
      <c r="E228" s="2" t="s">
        <v>32</v>
      </c>
      <c r="F228" s="2" t="s">
        <v>66</v>
      </c>
      <c r="G228" s="2" t="s">
        <v>67</v>
      </c>
      <c r="H228" s="2" t="s">
        <v>68</v>
      </c>
      <c r="I228" s="2" t="n">
        <v>90</v>
      </c>
      <c r="J228" s="2" t="n">
        <v>35</v>
      </c>
      <c r="K228" s="2" t="n">
        <v>0</v>
      </c>
      <c r="L228" s="2" t="n">
        <v>3150</v>
      </c>
      <c r="M228" s="2" t="n">
        <v>3124.59</v>
      </c>
      <c r="N228" s="2" t="s">
        <v>225</v>
      </c>
      <c r="O228" s="2" t="s">
        <v>46</v>
      </c>
      <c r="P228" s="2" t="s">
        <v>26</v>
      </c>
      <c r="Q228" s="3" t="n">
        <f aca="false">L228-M228</f>
        <v>25.4099999999999</v>
      </c>
    </row>
    <row r="229" customFormat="false" ht="15" hidden="false" customHeight="false" outlineLevel="0" collapsed="false">
      <c r="A229" s="3" t="s">
        <v>519</v>
      </c>
      <c r="B229" s="3" t="s">
        <v>520</v>
      </c>
      <c r="C229" s="3" t="s">
        <v>19</v>
      </c>
      <c r="D229" s="3" t="s">
        <v>20</v>
      </c>
      <c r="E229" s="3" t="s">
        <v>21</v>
      </c>
      <c r="F229" s="3" t="s">
        <v>49</v>
      </c>
      <c r="G229" s="3" t="s">
        <v>50</v>
      </c>
      <c r="H229" s="3" t="s">
        <v>24</v>
      </c>
      <c r="I229" s="3" t="n">
        <v>73</v>
      </c>
      <c r="J229" s="3" t="n">
        <v>28</v>
      </c>
      <c r="K229" s="3" t="n">
        <v>15</v>
      </c>
      <c r="L229" s="3" t="n">
        <v>1737.4</v>
      </c>
      <c r="M229" s="3" t="n">
        <v>2148.14</v>
      </c>
      <c r="N229" s="3" t="s">
        <v>212</v>
      </c>
      <c r="O229" s="3" t="s">
        <v>46</v>
      </c>
      <c r="P229" s="3" t="s">
        <v>27</v>
      </c>
      <c r="Q229" s="3" t="n">
        <f aca="false">L229-M229</f>
        <v>-410.74</v>
      </c>
    </row>
    <row r="230" customFormat="false" ht="15" hidden="false" customHeight="false" outlineLevel="0" collapsed="false">
      <c r="A230" s="2" t="s">
        <v>521</v>
      </c>
      <c r="B230" s="2" t="s">
        <v>146</v>
      </c>
      <c r="C230" s="2" t="s">
        <v>77</v>
      </c>
      <c r="D230" s="2" t="s">
        <v>78</v>
      </c>
      <c r="E230" s="2" t="s">
        <v>79</v>
      </c>
      <c r="F230" s="2" t="s">
        <v>88</v>
      </c>
      <c r="G230" s="2" t="s">
        <v>89</v>
      </c>
      <c r="H230" s="2" t="s">
        <v>74</v>
      </c>
      <c r="I230" s="2" t="n">
        <v>170</v>
      </c>
      <c r="J230" s="2" t="n">
        <v>38</v>
      </c>
      <c r="K230" s="2" t="n">
        <v>0</v>
      </c>
      <c r="L230" s="2" t="n">
        <v>6460</v>
      </c>
      <c r="M230" s="2" t="n">
        <v>6168.78</v>
      </c>
      <c r="N230" s="2" t="s">
        <v>136</v>
      </c>
      <c r="O230" s="2" t="s">
        <v>104</v>
      </c>
      <c r="P230" s="2" t="s">
        <v>26</v>
      </c>
      <c r="Q230" s="3" t="n">
        <f aca="false">L230-M230</f>
        <v>291.22</v>
      </c>
    </row>
    <row r="231" customFormat="false" ht="15" hidden="false" customHeight="false" outlineLevel="0" collapsed="false">
      <c r="A231" s="3" t="s">
        <v>522</v>
      </c>
      <c r="B231" s="3" t="s">
        <v>18</v>
      </c>
      <c r="C231" s="3" t="s">
        <v>77</v>
      </c>
      <c r="D231" s="3" t="s">
        <v>78</v>
      </c>
      <c r="E231" s="3" t="s">
        <v>79</v>
      </c>
      <c r="F231" s="3" t="s">
        <v>108</v>
      </c>
      <c r="G231" s="3" t="s">
        <v>109</v>
      </c>
      <c r="H231" s="3" t="s">
        <v>60</v>
      </c>
      <c r="I231" s="3" t="n">
        <v>58</v>
      </c>
      <c r="J231" s="3" t="n">
        <v>12.5</v>
      </c>
      <c r="K231" s="3" t="n">
        <v>0</v>
      </c>
      <c r="L231" s="3" t="n">
        <v>725</v>
      </c>
      <c r="M231" s="3" t="n">
        <v>716.45</v>
      </c>
      <c r="N231" s="3" t="s">
        <v>231</v>
      </c>
      <c r="O231" s="3" t="s">
        <v>26</v>
      </c>
      <c r="P231" s="3" t="s">
        <v>105</v>
      </c>
      <c r="Q231" s="3" t="n">
        <f aca="false">L231-M231</f>
        <v>8.54999999999996</v>
      </c>
    </row>
    <row r="232" customFormat="false" ht="15" hidden="false" customHeight="false" outlineLevel="0" collapsed="false">
      <c r="A232" s="2" t="s">
        <v>523</v>
      </c>
      <c r="B232" s="2" t="s">
        <v>524</v>
      </c>
      <c r="C232" s="2" t="s">
        <v>77</v>
      </c>
      <c r="D232" s="2" t="s">
        <v>78</v>
      </c>
      <c r="E232" s="2" t="s">
        <v>79</v>
      </c>
      <c r="F232" s="2" t="s">
        <v>88</v>
      </c>
      <c r="G232" s="2" t="s">
        <v>89</v>
      </c>
      <c r="H232" s="2" t="s">
        <v>74</v>
      </c>
      <c r="I232" s="2" t="n">
        <v>134</v>
      </c>
      <c r="J232" s="2" t="n">
        <v>38</v>
      </c>
      <c r="K232" s="2" t="n">
        <v>0</v>
      </c>
      <c r="L232" s="2" t="n">
        <v>5092</v>
      </c>
      <c r="M232" s="2" t="n">
        <v>4978.81</v>
      </c>
      <c r="N232" s="2" t="s">
        <v>253</v>
      </c>
      <c r="O232" s="2" t="s">
        <v>104</v>
      </c>
      <c r="P232" s="2" t="s">
        <v>52</v>
      </c>
      <c r="Q232" s="3" t="n">
        <f aca="false">L232-M232</f>
        <v>113.19</v>
      </c>
    </row>
    <row r="233" customFormat="false" ht="15" hidden="false" customHeight="false" outlineLevel="0" collapsed="false">
      <c r="A233" s="3" t="s">
        <v>525</v>
      </c>
      <c r="B233" s="3" t="s">
        <v>157</v>
      </c>
      <c r="C233" s="3" t="s">
        <v>83</v>
      </c>
      <c r="D233" s="3" t="s">
        <v>84</v>
      </c>
      <c r="E233" s="3" t="s">
        <v>21</v>
      </c>
      <c r="F233" s="3" t="s">
        <v>108</v>
      </c>
      <c r="G233" s="3" t="s">
        <v>109</v>
      </c>
      <c r="H233" s="3" t="s">
        <v>60</v>
      </c>
      <c r="I233" s="3" t="n">
        <v>87</v>
      </c>
      <c r="J233" s="3" t="n">
        <v>12.5</v>
      </c>
      <c r="K233" s="3" t="n">
        <v>5</v>
      </c>
      <c r="L233" s="3" t="n">
        <v>1033.12</v>
      </c>
      <c r="M233" s="3" t="n">
        <v>1004.01</v>
      </c>
      <c r="N233" s="3" t="s">
        <v>144</v>
      </c>
      <c r="O233" s="3" t="s">
        <v>104</v>
      </c>
      <c r="P233" s="3" t="s">
        <v>37</v>
      </c>
      <c r="Q233" s="3" t="n">
        <f aca="false">L233-M233</f>
        <v>29.1099999999999</v>
      </c>
    </row>
    <row r="234" customFormat="false" ht="15" hidden="false" customHeight="false" outlineLevel="0" collapsed="false">
      <c r="A234" s="2" t="s">
        <v>526</v>
      </c>
      <c r="B234" s="2" t="s">
        <v>314</v>
      </c>
      <c r="C234" s="2" t="s">
        <v>40</v>
      </c>
      <c r="D234" s="2" t="s">
        <v>41</v>
      </c>
      <c r="E234" s="2" t="s">
        <v>42</v>
      </c>
      <c r="F234" s="2" t="s">
        <v>72</v>
      </c>
      <c r="G234" s="2" t="s">
        <v>73</v>
      </c>
      <c r="H234" s="2" t="s">
        <v>74</v>
      </c>
      <c r="I234" s="2" t="n">
        <v>157</v>
      </c>
      <c r="J234" s="2" t="n">
        <v>55</v>
      </c>
      <c r="K234" s="2" t="n">
        <v>10</v>
      </c>
      <c r="L234" s="2" t="n">
        <v>7771.5</v>
      </c>
      <c r="M234" s="2" t="n">
        <v>8138.9</v>
      </c>
      <c r="N234" s="2" t="s">
        <v>253</v>
      </c>
      <c r="O234" s="2" t="s">
        <v>104</v>
      </c>
      <c r="P234" s="2" t="s">
        <v>52</v>
      </c>
      <c r="Q234" s="3" t="n">
        <f aca="false">L234-M234</f>
        <v>-367.4</v>
      </c>
    </row>
    <row r="235" customFormat="false" ht="15" hidden="false" customHeight="false" outlineLevel="0" collapsed="false">
      <c r="A235" s="3" t="s">
        <v>527</v>
      </c>
      <c r="B235" s="3" t="s">
        <v>528</v>
      </c>
      <c r="C235" s="3" t="s">
        <v>83</v>
      </c>
      <c r="D235" s="3" t="s">
        <v>84</v>
      </c>
      <c r="E235" s="3" t="s">
        <v>21</v>
      </c>
      <c r="F235" s="3" t="s">
        <v>43</v>
      </c>
      <c r="G235" s="3" t="s">
        <v>44</v>
      </c>
      <c r="H235" s="3" t="s">
        <v>35</v>
      </c>
      <c r="I235" s="3" t="n">
        <v>140</v>
      </c>
      <c r="J235" s="3" t="n">
        <v>85</v>
      </c>
      <c r="K235" s="3" t="n">
        <v>0</v>
      </c>
      <c r="L235" s="3" t="n">
        <v>11900</v>
      </c>
      <c r="M235" s="3" t="n">
        <v>10998.84</v>
      </c>
      <c r="N235" s="3" t="s">
        <v>113</v>
      </c>
      <c r="O235" s="3" t="s">
        <v>104</v>
      </c>
      <c r="P235" s="3" t="s">
        <v>105</v>
      </c>
      <c r="Q235" s="3" t="n">
        <f aca="false">L235-M235</f>
        <v>901.16</v>
      </c>
    </row>
    <row r="236" customFormat="false" ht="15" hidden="false" customHeight="false" outlineLevel="0" collapsed="false">
      <c r="A236" s="2" t="s">
        <v>529</v>
      </c>
      <c r="B236" s="2" t="s">
        <v>102</v>
      </c>
      <c r="C236" s="2" t="s">
        <v>77</v>
      </c>
      <c r="D236" s="2" t="s">
        <v>78</v>
      </c>
      <c r="E236" s="2" t="s">
        <v>79</v>
      </c>
      <c r="F236" s="2" t="s">
        <v>88</v>
      </c>
      <c r="G236" s="2" t="s">
        <v>89</v>
      </c>
      <c r="H236" s="2" t="s">
        <v>74</v>
      </c>
      <c r="I236" s="2" t="n">
        <v>27</v>
      </c>
      <c r="J236" s="2" t="n">
        <v>38</v>
      </c>
      <c r="K236" s="2" t="n">
        <v>15</v>
      </c>
      <c r="L236" s="2" t="n">
        <v>872.1</v>
      </c>
      <c r="M236" s="2" t="n">
        <v>1112.34</v>
      </c>
      <c r="N236" s="2" t="s">
        <v>92</v>
      </c>
      <c r="O236" s="2" t="s">
        <v>52</v>
      </c>
      <c r="P236" s="2" t="s">
        <v>26</v>
      </c>
      <c r="Q236" s="3" t="n">
        <f aca="false">L236-M236</f>
        <v>-240.24</v>
      </c>
    </row>
    <row r="237" customFormat="false" ht="15" hidden="false" customHeight="false" outlineLevel="0" collapsed="false">
      <c r="A237" s="3" t="s">
        <v>530</v>
      </c>
      <c r="B237" s="3" t="s">
        <v>531</v>
      </c>
      <c r="C237" s="3" t="s">
        <v>19</v>
      </c>
      <c r="D237" s="3" t="s">
        <v>20</v>
      </c>
      <c r="E237" s="3" t="s">
        <v>21</v>
      </c>
      <c r="F237" s="3" t="s">
        <v>98</v>
      </c>
      <c r="G237" s="3" t="s">
        <v>99</v>
      </c>
      <c r="H237" s="3" t="s">
        <v>68</v>
      </c>
      <c r="I237" s="3" t="n">
        <v>62</v>
      </c>
      <c r="J237" s="3" t="n">
        <v>22</v>
      </c>
      <c r="K237" s="3" t="n">
        <v>0</v>
      </c>
      <c r="L237" s="3" t="n">
        <v>1364</v>
      </c>
      <c r="M237" s="3" t="n">
        <v>1377.43</v>
      </c>
      <c r="N237" s="3" t="s">
        <v>190</v>
      </c>
      <c r="O237" s="3" t="s">
        <v>26</v>
      </c>
      <c r="P237" s="3" t="s">
        <v>52</v>
      </c>
      <c r="Q237" s="3" t="n">
        <f aca="false">L237-M237</f>
        <v>-13.4300000000001</v>
      </c>
    </row>
    <row r="238" customFormat="false" ht="15" hidden="false" customHeight="false" outlineLevel="0" collapsed="false">
      <c r="A238" s="2" t="s">
        <v>532</v>
      </c>
      <c r="B238" s="2" t="s">
        <v>448</v>
      </c>
      <c r="C238" s="2" t="s">
        <v>30</v>
      </c>
      <c r="D238" s="2" t="s">
        <v>31</v>
      </c>
      <c r="E238" s="2" t="s">
        <v>32</v>
      </c>
      <c r="F238" s="2" t="s">
        <v>66</v>
      </c>
      <c r="G238" s="2" t="s">
        <v>67</v>
      </c>
      <c r="H238" s="2" t="s">
        <v>68</v>
      </c>
      <c r="I238" s="2" t="n">
        <v>118</v>
      </c>
      <c r="J238" s="2" t="n">
        <v>35</v>
      </c>
      <c r="K238" s="2" t="n">
        <v>15</v>
      </c>
      <c r="L238" s="2" t="n">
        <v>3510.5</v>
      </c>
      <c r="M238" s="2" t="n">
        <v>4171.62</v>
      </c>
      <c r="N238" s="2" t="s">
        <v>85</v>
      </c>
      <c r="O238" s="2" t="s">
        <v>37</v>
      </c>
      <c r="P238" s="2" t="s">
        <v>52</v>
      </c>
      <c r="Q238" s="3" t="n">
        <f aca="false">L238-M238</f>
        <v>-661.12</v>
      </c>
    </row>
    <row r="239" customFormat="false" ht="15" hidden="false" customHeight="false" outlineLevel="0" collapsed="false">
      <c r="A239" s="3" t="s">
        <v>533</v>
      </c>
      <c r="B239" s="3" t="s">
        <v>499</v>
      </c>
      <c r="C239" s="3" t="s">
        <v>19</v>
      </c>
      <c r="D239" s="3" t="s">
        <v>20</v>
      </c>
      <c r="E239" s="3" t="s">
        <v>21</v>
      </c>
      <c r="F239" s="3" t="s">
        <v>22</v>
      </c>
      <c r="G239" s="3" t="s">
        <v>23</v>
      </c>
      <c r="H239" s="3" t="s">
        <v>24</v>
      </c>
      <c r="I239" s="3" t="n">
        <v>153</v>
      </c>
      <c r="J239" s="3" t="n">
        <v>32</v>
      </c>
      <c r="K239" s="3" t="n">
        <v>0</v>
      </c>
      <c r="L239" s="3" t="n">
        <v>4896</v>
      </c>
      <c r="M239" s="3" t="n">
        <v>4515.95</v>
      </c>
      <c r="N239" s="3" t="s">
        <v>379</v>
      </c>
      <c r="O239" s="3" t="s">
        <v>46</v>
      </c>
      <c r="P239" s="3" t="s">
        <v>105</v>
      </c>
      <c r="Q239" s="3" t="n">
        <f aca="false">L239-M239</f>
        <v>380.05</v>
      </c>
    </row>
    <row r="240" customFormat="false" ht="15" hidden="false" customHeight="false" outlineLevel="0" collapsed="false">
      <c r="A240" s="2" t="s">
        <v>534</v>
      </c>
      <c r="B240" s="2" t="s">
        <v>247</v>
      </c>
      <c r="C240" s="2" t="s">
        <v>83</v>
      </c>
      <c r="D240" s="2" t="s">
        <v>84</v>
      </c>
      <c r="E240" s="2" t="s">
        <v>21</v>
      </c>
      <c r="F240" s="2" t="s">
        <v>22</v>
      </c>
      <c r="G240" s="2" t="s">
        <v>23</v>
      </c>
      <c r="H240" s="2" t="s">
        <v>24</v>
      </c>
      <c r="I240" s="2" t="n">
        <v>35</v>
      </c>
      <c r="J240" s="2" t="n">
        <v>32</v>
      </c>
      <c r="K240" s="2" t="n">
        <v>5</v>
      </c>
      <c r="L240" s="2" t="n">
        <v>1064</v>
      </c>
      <c r="M240" s="2" t="n">
        <v>1030.34</v>
      </c>
      <c r="N240" s="2" t="s">
        <v>147</v>
      </c>
      <c r="O240" s="2" t="s">
        <v>104</v>
      </c>
      <c r="P240" s="2" t="s">
        <v>27</v>
      </c>
      <c r="Q240" s="3" t="n">
        <f aca="false">L240-M240</f>
        <v>33.6600000000001</v>
      </c>
    </row>
    <row r="241" customFormat="false" ht="15" hidden="false" customHeight="false" outlineLevel="0" collapsed="false">
      <c r="A241" s="3" t="s">
        <v>535</v>
      </c>
      <c r="B241" s="3" t="s">
        <v>536</v>
      </c>
      <c r="C241" s="3" t="s">
        <v>55</v>
      </c>
      <c r="D241" s="3" t="s">
        <v>56</v>
      </c>
      <c r="E241" s="3" t="s">
        <v>57</v>
      </c>
      <c r="F241" s="3" t="s">
        <v>88</v>
      </c>
      <c r="G241" s="3" t="s">
        <v>89</v>
      </c>
      <c r="H241" s="3" t="s">
        <v>74</v>
      </c>
      <c r="I241" s="3" t="n">
        <v>148</v>
      </c>
      <c r="J241" s="3" t="n">
        <v>38</v>
      </c>
      <c r="K241" s="3" t="n">
        <v>0</v>
      </c>
      <c r="L241" s="3" t="n">
        <v>5624</v>
      </c>
      <c r="M241" s="3" t="n">
        <v>5756.12</v>
      </c>
      <c r="N241" s="3" t="s">
        <v>144</v>
      </c>
      <c r="O241" s="3" t="s">
        <v>104</v>
      </c>
      <c r="P241" s="3" t="s">
        <v>26</v>
      </c>
      <c r="Q241" s="3" t="n">
        <f aca="false">L241-M241</f>
        <v>-132.12</v>
      </c>
    </row>
    <row r="242" customFormat="false" ht="15" hidden="false" customHeight="false" outlineLevel="0" collapsed="false">
      <c r="A242" s="2" t="s">
        <v>537</v>
      </c>
      <c r="B242" s="2" t="s">
        <v>249</v>
      </c>
      <c r="C242" s="2" t="s">
        <v>64</v>
      </c>
      <c r="D242" s="2" t="s">
        <v>65</v>
      </c>
      <c r="E242" s="2" t="s">
        <v>32</v>
      </c>
      <c r="F242" s="2" t="s">
        <v>72</v>
      </c>
      <c r="G242" s="2" t="s">
        <v>73</v>
      </c>
      <c r="H242" s="2" t="s">
        <v>74</v>
      </c>
      <c r="I242" s="2" t="n">
        <v>98</v>
      </c>
      <c r="J242" s="2" t="n">
        <v>55</v>
      </c>
      <c r="K242" s="2" t="n">
        <v>0</v>
      </c>
      <c r="L242" s="2" t="n">
        <v>5390</v>
      </c>
      <c r="M242" s="2" t="n">
        <v>5641.11</v>
      </c>
      <c r="N242" s="2" t="s">
        <v>462</v>
      </c>
      <c r="O242" s="2" t="s">
        <v>46</v>
      </c>
      <c r="P242" s="2" t="s">
        <v>27</v>
      </c>
      <c r="Q242" s="3" t="n">
        <f aca="false">L242-M242</f>
        <v>-251.11</v>
      </c>
    </row>
    <row r="243" customFormat="false" ht="15" hidden="false" customHeight="false" outlineLevel="0" collapsed="false">
      <c r="A243" s="3" t="s">
        <v>538</v>
      </c>
      <c r="B243" s="3" t="s">
        <v>277</v>
      </c>
      <c r="C243" s="3" t="s">
        <v>64</v>
      </c>
      <c r="D243" s="3" t="s">
        <v>65</v>
      </c>
      <c r="E243" s="3" t="s">
        <v>32</v>
      </c>
      <c r="F243" s="3" t="s">
        <v>22</v>
      </c>
      <c r="G243" s="3" t="s">
        <v>23</v>
      </c>
      <c r="H243" s="3" t="s">
        <v>24</v>
      </c>
      <c r="I243" s="3" t="n">
        <v>130</v>
      </c>
      <c r="J243" s="3" t="n">
        <v>32</v>
      </c>
      <c r="K243" s="3" t="n">
        <v>5</v>
      </c>
      <c r="L243" s="3" t="n">
        <v>3952</v>
      </c>
      <c r="M243" s="3" t="n">
        <v>4110.47</v>
      </c>
      <c r="N243" s="3" t="s">
        <v>300</v>
      </c>
      <c r="O243" s="3" t="s">
        <v>37</v>
      </c>
      <c r="P243" s="3" t="s">
        <v>27</v>
      </c>
      <c r="Q243" s="3" t="n">
        <f aca="false">L243-M243</f>
        <v>-158.47</v>
      </c>
    </row>
    <row r="244" customFormat="false" ht="15" hidden="false" customHeight="false" outlineLevel="0" collapsed="false">
      <c r="A244" s="2" t="s">
        <v>539</v>
      </c>
      <c r="B244" s="2" t="s">
        <v>357</v>
      </c>
      <c r="C244" s="2" t="s">
        <v>161</v>
      </c>
      <c r="D244" s="2" t="s">
        <v>162</v>
      </c>
      <c r="E244" s="2" t="s">
        <v>57</v>
      </c>
      <c r="F244" s="2" t="s">
        <v>88</v>
      </c>
      <c r="G244" s="2" t="s">
        <v>89</v>
      </c>
      <c r="H244" s="2" t="s">
        <v>74</v>
      </c>
      <c r="I244" s="2" t="n">
        <v>90</v>
      </c>
      <c r="J244" s="2" t="n">
        <v>38</v>
      </c>
      <c r="K244" s="2" t="n">
        <v>15</v>
      </c>
      <c r="L244" s="2" t="n">
        <v>2907</v>
      </c>
      <c r="M244" s="2" t="n">
        <v>3252.34</v>
      </c>
      <c r="N244" s="2" t="s">
        <v>304</v>
      </c>
      <c r="O244" s="2" t="s">
        <v>52</v>
      </c>
      <c r="P244" s="2" t="s">
        <v>52</v>
      </c>
      <c r="Q244" s="3" t="n">
        <f aca="false">L244-M244</f>
        <v>-345.34</v>
      </c>
    </row>
    <row r="245" customFormat="false" ht="15" hidden="false" customHeight="false" outlineLevel="0" collapsed="false">
      <c r="A245" s="3" t="s">
        <v>540</v>
      </c>
      <c r="B245" s="3" t="s">
        <v>218</v>
      </c>
      <c r="C245" s="3" t="s">
        <v>40</v>
      </c>
      <c r="D245" s="3" t="s">
        <v>41</v>
      </c>
      <c r="E245" s="3" t="s">
        <v>42</v>
      </c>
      <c r="F245" s="3" t="s">
        <v>43</v>
      </c>
      <c r="G245" s="3" t="s">
        <v>44</v>
      </c>
      <c r="H245" s="3" t="s">
        <v>35</v>
      </c>
      <c r="I245" s="3" t="n">
        <v>168</v>
      </c>
      <c r="J245" s="3" t="n">
        <v>85</v>
      </c>
      <c r="K245" s="3" t="n">
        <v>15</v>
      </c>
      <c r="L245" s="3" t="n">
        <v>12138</v>
      </c>
      <c r="M245" s="3" t="n">
        <v>12938.5</v>
      </c>
      <c r="N245" s="3" t="s">
        <v>462</v>
      </c>
      <c r="O245" s="3" t="s">
        <v>37</v>
      </c>
      <c r="P245" s="3" t="s">
        <v>37</v>
      </c>
      <c r="Q245" s="3" t="n">
        <f aca="false">L245-M245</f>
        <v>-800.5</v>
      </c>
    </row>
    <row r="246" customFormat="false" ht="15" hidden="false" customHeight="false" outlineLevel="0" collapsed="false">
      <c r="A246" s="2" t="s">
        <v>541</v>
      </c>
      <c r="B246" s="2" t="s">
        <v>179</v>
      </c>
      <c r="C246" s="2" t="s">
        <v>64</v>
      </c>
      <c r="D246" s="2" t="s">
        <v>65</v>
      </c>
      <c r="E246" s="2" t="s">
        <v>32</v>
      </c>
      <c r="F246" s="2" t="s">
        <v>49</v>
      </c>
      <c r="G246" s="2" t="s">
        <v>50</v>
      </c>
      <c r="H246" s="2" t="s">
        <v>24</v>
      </c>
      <c r="I246" s="2" t="n">
        <v>191</v>
      </c>
      <c r="J246" s="2" t="n">
        <v>28</v>
      </c>
      <c r="K246" s="2" t="n">
        <v>0</v>
      </c>
      <c r="L246" s="2" t="n">
        <v>5348</v>
      </c>
      <c r="M246" s="2" t="n">
        <v>5145.58</v>
      </c>
      <c r="N246" s="2" t="s">
        <v>168</v>
      </c>
      <c r="O246" s="2" t="s">
        <v>26</v>
      </c>
      <c r="P246" s="2" t="s">
        <v>37</v>
      </c>
      <c r="Q246" s="3" t="n">
        <f aca="false">L246-M246</f>
        <v>202.42</v>
      </c>
    </row>
    <row r="247" customFormat="false" ht="15" hidden="false" customHeight="false" outlineLevel="0" collapsed="false">
      <c r="A247" s="3" t="s">
        <v>542</v>
      </c>
      <c r="B247" s="3" t="s">
        <v>160</v>
      </c>
      <c r="C247" s="3" t="s">
        <v>30</v>
      </c>
      <c r="D247" s="3" t="s">
        <v>31</v>
      </c>
      <c r="E247" s="3" t="s">
        <v>32</v>
      </c>
      <c r="F247" s="3" t="s">
        <v>33</v>
      </c>
      <c r="G247" s="3" t="s">
        <v>34</v>
      </c>
      <c r="H247" s="3" t="s">
        <v>35</v>
      </c>
      <c r="I247" s="3" t="n">
        <v>91</v>
      </c>
      <c r="J247" s="3" t="n">
        <v>45</v>
      </c>
      <c r="K247" s="3" t="n">
        <v>0</v>
      </c>
      <c r="L247" s="3" t="n">
        <v>4095</v>
      </c>
      <c r="M247" s="3" t="n">
        <v>4372.79</v>
      </c>
      <c r="N247" s="3" t="s">
        <v>110</v>
      </c>
      <c r="O247" s="3" t="s">
        <v>104</v>
      </c>
      <c r="P247" s="3" t="s">
        <v>26</v>
      </c>
      <c r="Q247" s="3" t="n">
        <f aca="false">L247-M247</f>
        <v>-277.79</v>
      </c>
    </row>
    <row r="248" customFormat="false" ht="15" hidden="false" customHeight="false" outlineLevel="0" collapsed="false">
      <c r="A248" s="2" t="s">
        <v>543</v>
      </c>
      <c r="B248" s="2" t="s">
        <v>544</v>
      </c>
      <c r="C248" s="2" t="s">
        <v>30</v>
      </c>
      <c r="D248" s="2" t="s">
        <v>31</v>
      </c>
      <c r="E248" s="2" t="s">
        <v>32</v>
      </c>
      <c r="F248" s="2" t="s">
        <v>49</v>
      </c>
      <c r="G248" s="2" t="s">
        <v>50</v>
      </c>
      <c r="H248" s="2" t="s">
        <v>24</v>
      </c>
      <c r="I248" s="2" t="n">
        <v>162</v>
      </c>
      <c r="J248" s="2" t="n">
        <v>28</v>
      </c>
      <c r="K248" s="2" t="n">
        <v>5</v>
      </c>
      <c r="L248" s="2" t="n">
        <v>4309.2</v>
      </c>
      <c r="M248" s="2" t="n">
        <v>4222.34</v>
      </c>
      <c r="N248" s="2" t="s">
        <v>300</v>
      </c>
      <c r="O248" s="2" t="s">
        <v>104</v>
      </c>
      <c r="P248" s="2" t="s">
        <v>37</v>
      </c>
      <c r="Q248" s="3" t="n">
        <f aca="false">L248-M248</f>
        <v>86.8599999999997</v>
      </c>
    </row>
    <row r="249" customFormat="false" ht="15" hidden="false" customHeight="false" outlineLevel="0" collapsed="false">
      <c r="A249" s="3" t="s">
        <v>545</v>
      </c>
      <c r="B249" s="3" t="s">
        <v>546</v>
      </c>
      <c r="C249" s="3" t="s">
        <v>30</v>
      </c>
      <c r="D249" s="3" t="s">
        <v>31</v>
      </c>
      <c r="E249" s="3" t="s">
        <v>32</v>
      </c>
      <c r="F249" s="3" t="s">
        <v>108</v>
      </c>
      <c r="G249" s="3" t="s">
        <v>109</v>
      </c>
      <c r="H249" s="3" t="s">
        <v>60</v>
      </c>
      <c r="I249" s="3" t="n">
        <v>27</v>
      </c>
      <c r="J249" s="3" t="n">
        <v>12.5</v>
      </c>
      <c r="K249" s="3" t="n">
        <v>5</v>
      </c>
      <c r="L249" s="3" t="n">
        <v>320.62</v>
      </c>
      <c r="M249" s="3" t="n">
        <v>305.89</v>
      </c>
      <c r="N249" s="3" t="s">
        <v>231</v>
      </c>
      <c r="O249" s="3" t="s">
        <v>104</v>
      </c>
      <c r="P249" s="3" t="s">
        <v>105</v>
      </c>
      <c r="Q249" s="3" t="n">
        <f aca="false">L249-M249</f>
        <v>14.73</v>
      </c>
    </row>
    <row r="250" customFormat="false" ht="15" hidden="false" customHeight="false" outlineLevel="0" collapsed="false">
      <c r="A250" s="2" t="s">
        <v>547</v>
      </c>
      <c r="B250" s="2" t="s">
        <v>505</v>
      </c>
      <c r="C250" s="2" t="s">
        <v>161</v>
      </c>
      <c r="D250" s="2" t="s">
        <v>162</v>
      </c>
      <c r="E250" s="2" t="s">
        <v>57</v>
      </c>
      <c r="F250" s="2" t="s">
        <v>49</v>
      </c>
      <c r="G250" s="2" t="s">
        <v>50</v>
      </c>
      <c r="H250" s="2" t="s">
        <v>24</v>
      </c>
      <c r="I250" s="2" t="n">
        <v>175</v>
      </c>
      <c r="J250" s="2" t="n">
        <v>28</v>
      </c>
      <c r="K250" s="2" t="n">
        <v>0</v>
      </c>
      <c r="L250" s="2" t="n">
        <v>4900</v>
      </c>
      <c r="M250" s="2" t="n">
        <v>5300.24</v>
      </c>
      <c r="N250" s="2" t="s">
        <v>304</v>
      </c>
      <c r="O250" s="2" t="s">
        <v>52</v>
      </c>
      <c r="P250" s="2" t="s">
        <v>27</v>
      </c>
      <c r="Q250" s="3" t="n">
        <f aca="false">L250-M250</f>
        <v>-400.24</v>
      </c>
    </row>
    <row r="251" customFormat="false" ht="15" hidden="false" customHeight="false" outlineLevel="0" collapsed="false">
      <c r="A251" s="3" t="s">
        <v>548</v>
      </c>
      <c r="B251" s="3" t="s">
        <v>503</v>
      </c>
      <c r="C251" s="3" t="s">
        <v>40</v>
      </c>
      <c r="D251" s="3" t="s">
        <v>41</v>
      </c>
      <c r="E251" s="3" t="s">
        <v>42</v>
      </c>
      <c r="F251" s="3" t="s">
        <v>43</v>
      </c>
      <c r="G251" s="3" t="s">
        <v>44</v>
      </c>
      <c r="H251" s="3" t="s">
        <v>35</v>
      </c>
      <c r="I251" s="3" t="n">
        <v>157</v>
      </c>
      <c r="J251" s="3" t="n">
        <v>85</v>
      </c>
      <c r="K251" s="3" t="n">
        <v>10</v>
      </c>
      <c r="L251" s="3" t="n">
        <v>12010.5</v>
      </c>
      <c r="M251" s="3" t="n">
        <v>14072.4</v>
      </c>
      <c r="N251" s="3" t="s">
        <v>61</v>
      </c>
      <c r="O251" s="3" t="s">
        <v>37</v>
      </c>
      <c r="P251" s="3" t="s">
        <v>105</v>
      </c>
      <c r="Q251" s="3" t="n">
        <f aca="false">L251-M251</f>
        <v>-2061.9</v>
      </c>
    </row>
    <row r="252" customFormat="false" ht="15" hidden="false" customHeight="false" outlineLevel="0" collapsed="false">
      <c r="A252" s="2" t="s">
        <v>226</v>
      </c>
      <c r="B252" s="2" t="s">
        <v>227</v>
      </c>
      <c r="C252" s="2" t="s">
        <v>64</v>
      </c>
      <c r="D252" s="2" t="s">
        <v>65</v>
      </c>
      <c r="E252" s="2" t="s">
        <v>32</v>
      </c>
      <c r="F252" s="2" t="s">
        <v>108</v>
      </c>
      <c r="G252" s="2" t="s">
        <v>109</v>
      </c>
      <c r="H252" s="2" t="s">
        <v>60</v>
      </c>
      <c r="I252" s="2" t="n">
        <v>170</v>
      </c>
      <c r="J252" s="2" t="n">
        <v>12.5</v>
      </c>
      <c r="K252" s="2" t="n">
        <v>0</v>
      </c>
      <c r="L252" s="2" t="n">
        <v>2125</v>
      </c>
      <c r="M252" s="2" t="n">
        <v>2249.13</v>
      </c>
      <c r="N252" s="2" t="s">
        <v>228</v>
      </c>
      <c r="O252" s="2" t="s">
        <v>52</v>
      </c>
      <c r="P252" s="2" t="s">
        <v>37</v>
      </c>
      <c r="Q252" s="3" t="n">
        <f aca="false">L252-M252</f>
        <v>-124.13</v>
      </c>
    </row>
    <row r="253" customFormat="false" ht="15" hidden="false" customHeight="false" outlineLevel="0" collapsed="false">
      <c r="A253" s="3" t="s">
        <v>549</v>
      </c>
      <c r="B253" s="3" t="s">
        <v>550</v>
      </c>
      <c r="C253" s="3" t="s">
        <v>77</v>
      </c>
      <c r="D253" s="3" t="s">
        <v>78</v>
      </c>
      <c r="E253" s="3" t="s">
        <v>79</v>
      </c>
      <c r="F253" s="3" t="s">
        <v>49</v>
      </c>
      <c r="G253" s="3" t="s">
        <v>50</v>
      </c>
      <c r="H253" s="3" t="s">
        <v>24</v>
      </c>
      <c r="I253" s="3" t="n">
        <v>69</v>
      </c>
      <c r="J253" s="3" t="n">
        <v>28</v>
      </c>
      <c r="K253" s="3" t="n">
        <v>0</v>
      </c>
      <c r="L253" s="3" t="n">
        <v>1932</v>
      </c>
      <c r="M253" s="3" t="n">
        <v>2038.02</v>
      </c>
      <c r="N253" s="3" t="s">
        <v>212</v>
      </c>
      <c r="O253" s="3" t="s">
        <v>52</v>
      </c>
      <c r="P253" s="3" t="s">
        <v>37</v>
      </c>
      <c r="Q253" s="3" t="n">
        <f aca="false">L253-M253</f>
        <v>-106.02</v>
      </c>
    </row>
    <row r="254" customFormat="false" ht="15" hidden="false" customHeight="false" outlineLevel="0" collapsed="false">
      <c r="A254" s="2" t="s">
        <v>551</v>
      </c>
      <c r="B254" s="2" t="s">
        <v>314</v>
      </c>
      <c r="C254" s="2" t="s">
        <v>161</v>
      </c>
      <c r="D254" s="2" t="s">
        <v>162</v>
      </c>
      <c r="E254" s="2" t="s">
        <v>57</v>
      </c>
      <c r="F254" s="2" t="s">
        <v>108</v>
      </c>
      <c r="G254" s="2" t="s">
        <v>109</v>
      </c>
      <c r="H254" s="2" t="s">
        <v>60</v>
      </c>
      <c r="I254" s="2" t="n">
        <v>50</v>
      </c>
      <c r="J254" s="2" t="n">
        <v>12.5</v>
      </c>
      <c r="K254" s="2" t="n">
        <v>10</v>
      </c>
      <c r="L254" s="2" t="n">
        <v>562.5</v>
      </c>
      <c r="M254" s="2" t="n">
        <v>568.72</v>
      </c>
      <c r="N254" s="2" t="s">
        <v>347</v>
      </c>
      <c r="O254" s="2" t="s">
        <v>26</v>
      </c>
      <c r="P254" s="2" t="s">
        <v>26</v>
      </c>
      <c r="Q254" s="3" t="n">
        <f aca="false">L254-M254</f>
        <v>-6.22000000000003</v>
      </c>
    </row>
  </sheetData>
  <autoFilter ref="A1:Q2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7" min="4" style="0" width="14"/>
  </cols>
  <sheetData>
    <row r="1" customFormat="false" ht="23.85" hidden="false" customHeight="false" outlineLevel="0" collapsed="false">
      <c r="A1" s="1" t="s">
        <v>5</v>
      </c>
      <c r="B1" s="1" t="s">
        <v>6</v>
      </c>
      <c r="C1" s="1" t="s">
        <v>7</v>
      </c>
      <c r="D1" s="1" t="s">
        <v>9</v>
      </c>
      <c r="E1" s="1" t="s">
        <v>552</v>
      </c>
      <c r="F1" s="1" t="s">
        <v>553</v>
      </c>
      <c r="G1" s="1" t="s">
        <v>554</v>
      </c>
    </row>
    <row r="2" customFormat="false" ht="15" hidden="false" customHeight="false" outlineLevel="0" collapsed="false">
      <c r="A2" s="4" t="s">
        <v>108</v>
      </c>
      <c r="B2" s="4" t="s">
        <v>109</v>
      </c>
      <c r="C2" s="4" t="s">
        <v>60</v>
      </c>
      <c r="D2" s="4" t="n">
        <v>12.5</v>
      </c>
      <c r="E2" s="4" t="n">
        <v>500</v>
      </c>
      <c r="F2" s="4" t="s">
        <v>555</v>
      </c>
      <c r="G2" s="4" t="n">
        <v>3200</v>
      </c>
    </row>
    <row r="3" customFormat="false" ht="15" hidden="false" customHeight="false" outlineLevel="0" collapsed="false">
      <c r="A3" s="5" t="s">
        <v>58</v>
      </c>
      <c r="B3" s="5" t="s">
        <v>59</v>
      </c>
      <c r="C3" s="5" t="s">
        <v>60</v>
      </c>
      <c r="D3" s="5" t="n">
        <v>18</v>
      </c>
      <c r="E3" s="5" t="n">
        <v>300</v>
      </c>
      <c r="F3" s="5" t="s">
        <v>556</v>
      </c>
      <c r="G3" s="5" t="n">
        <v>1850</v>
      </c>
    </row>
    <row r="4" customFormat="false" ht="15" hidden="false" customHeight="false" outlineLevel="0" collapsed="false">
      <c r="A4" s="4" t="s">
        <v>33</v>
      </c>
      <c r="B4" s="4" t="s">
        <v>34</v>
      </c>
      <c r="C4" s="4" t="s">
        <v>35</v>
      </c>
      <c r="D4" s="4" t="n">
        <v>45</v>
      </c>
      <c r="E4" s="4" t="n">
        <v>200</v>
      </c>
      <c r="F4" s="4" t="s">
        <v>557</v>
      </c>
      <c r="G4" s="4" t="n">
        <v>940</v>
      </c>
    </row>
    <row r="5" customFormat="false" ht="15" hidden="false" customHeight="false" outlineLevel="0" collapsed="false">
      <c r="A5" s="5" t="s">
        <v>43</v>
      </c>
      <c r="B5" s="5" t="s">
        <v>44</v>
      </c>
      <c r="C5" s="5" t="s">
        <v>35</v>
      </c>
      <c r="D5" s="5" t="n">
        <v>85</v>
      </c>
      <c r="E5" s="5" t="n">
        <v>150</v>
      </c>
      <c r="F5" s="5" t="s">
        <v>558</v>
      </c>
      <c r="G5" s="5" t="n">
        <v>620</v>
      </c>
    </row>
    <row r="6" customFormat="false" ht="15" hidden="false" customHeight="false" outlineLevel="0" collapsed="false">
      <c r="A6" s="4" t="s">
        <v>72</v>
      </c>
      <c r="B6" s="4" t="s">
        <v>73</v>
      </c>
      <c r="C6" s="4" t="s">
        <v>74</v>
      </c>
      <c r="D6" s="4" t="n">
        <v>55</v>
      </c>
      <c r="E6" s="4" t="n">
        <v>250</v>
      </c>
      <c r="F6" s="4" t="s">
        <v>559</v>
      </c>
      <c r="G6" s="4" t="n">
        <v>1100</v>
      </c>
    </row>
    <row r="7" customFormat="false" ht="15" hidden="false" customHeight="false" outlineLevel="0" collapsed="false">
      <c r="A7" s="5" t="s">
        <v>88</v>
      </c>
      <c r="B7" s="5" t="s">
        <v>89</v>
      </c>
      <c r="C7" s="5" t="s">
        <v>74</v>
      </c>
      <c r="D7" s="5" t="n">
        <v>38</v>
      </c>
      <c r="E7" s="5" t="n">
        <v>200</v>
      </c>
      <c r="F7" s="5" t="s">
        <v>560</v>
      </c>
      <c r="G7" s="5" t="n">
        <v>780</v>
      </c>
    </row>
    <row r="8" customFormat="false" ht="15" hidden="false" customHeight="false" outlineLevel="0" collapsed="false">
      <c r="A8" s="4" t="s">
        <v>98</v>
      </c>
      <c r="B8" s="4" t="s">
        <v>99</v>
      </c>
      <c r="C8" s="4" t="s">
        <v>68</v>
      </c>
      <c r="D8" s="4" t="n">
        <v>22</v>
      </c>
      <c r="E8" s="4" t="n">
        <v>400</v>
      </c>
      <c r="F8" s="4" t="s">
        <v>561</v>
      </c>
      <c r="G8" s="4" t="n">
        <v>2400</v>
      </c>
    </row>
    <row r="9" customFormat="false" ht="15" hidden="false" customHeight="false" outlineLevel="0" collapsed="false">
      <c r="A9" s="5" t="s">
        <v>66</v>
      </c>
      <c r="B9" s="5" t="s">
        <v>67</v>
      </c>
      <c r="C9" s="5" t="s">
        <v>68</v>
      </c>
      <c r="D9" s="5" t="n">
        <v>35</v>
      </c>
      <c r="E9" s="5" t="n">
        <v>300</v>
      </c>
      <c r="F9" s="5" t="s">
        <v>562</v>
      </c>
      <c r="G9" s="5" t="n">
        <v>1560</v>
      </c>
    </row>
    <row r="10" customFormat="false" ht="15" hidden="false" customHeight="false" outlineLevel="0" collapsed="false">
      <c r="A10" s="4" t="s">
        <v>49</v>
      </c>
      <c r="B10" s="4" t="s">
        <v>50</v>
      </c>
      <c r="C10" s="4" t="s">
        <v>24</v>
      </c>
      <c r="D10" s="4" t="n">
        <v>28</v>
      </c>
      <c r="E10" s="4" t="n">
        <v>180</v>
      </c>
      <c r="F10" s="4" t="s">
        <v>563</v>
      </c>
      <c r="G10" s="4" t="n">
        <v>870</v>
      </c>
    </row>
    <row r="11" customFormat="false" ht="15" hidden="false" customHeight="false" outlineLevel="0" collapsed="false">
      <c r="A11" s="5" t="s">
        <v>22</v>
      </c>
      <c r="B11" s="5" t="s">
        <v>23</v>
      </c>
      <c r="C11" s="5" t="s">
        <v>24</v>
      </c>
      <c r="D11" s="5" t="n">
        <v>32</v>
      </c>
      <c r="E11" s="5" t="n">
        <v>150</v>
      </c>
      <c r="F11" s="5" t="s">
        <v>564</v>
      </c>
      <c r="G11" s="5" t="n">
        <v>640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8" min="4" style="0" width="13"/>
  </cols>
  <sheetData>
    <row r="1" customFormat="false" ht="23.85" hidden="false" customHeight="false" outlineLevel="0" collapsed="false">
      <c r="A1" s="1" t="s">
        <v>2</v>
      </c>
      <c r="B1" s="1" t="s">
        <v>3</v>
      </c>
      <c r="C1" s="1" t="s">
        <v>4</v>
      </c>
      <c r="D1" s="1" t="s">
        <v>565</v>
      </c>
      <c r="E1" s="1" t="s">
        <v>566</v>
      </c>
      <c r="F1" s="1" t="s">
        <v>567</v>
      </c>
      <c r="G1" s="1" t="s">
        <v>568</v>
      </c>
      <c r="H1" s="1" t="s">
        <v>569</v>
      </c>
    </row>
    <row r="2" customFormat="false" ht="15" hidden="false" customHeight="false" outlineLevel="0" collapsed="false">
      <c r="A2" s="4" t="s">
        <v>64</v>
      </c>
      <c r="B2" s="4" t="s">
        <v>65</v>
      </c>
      <c r="C2" s="4" t="s">
        <v>32</v>
      </c>
      <c r="D2" s="4" t="n">
        <v>120000</v>
      </c>
      <c r="E2" s="4" t="n">
        <v>130000</v>
      </c>
      <c r="F2" s="4" t="n">
        <v>125000</v>
      </c>
      <c r="G2" s="4" t="n">
        <v>140000</v>
      </c>
      <c r="H2" s="6" t="n">
        <f aca="false">SUM(D2:G2)</f>
        <v>515000</v>
      </c>
    </row>
    <row r="3" customFormat="false" ht="15" hidden="false" customHeight="false" outlineLevel="0" collapsed="false">
      <c r="A3" s="5" t="s">
        <v>161</v>
      </c>
      <c r="B3" s="5" t="s">
        <v>162</v>
      </c>
      <c r="C3" s="5" t="s">
        <v>57</v>
      </c>
      <c r="D3" s="5" t="n">
        <v>110000</v>
      </c>
      <c r="E3" s="5" t="n">
        <v>115000</v>
      </c>
      <c r="F3" s="5" t="n">
        <v>120000</v>
      </c>
      <c r="G3" s="5" t="n">
        <v>130000</v>
      </c>
      <c r="H3" s="6" t="n">
        <f aca="false">SUM(D3:G3)</f>
        <v>475000</v>
      </c>
    </row>
    <row r="4" customFormat="false" ht="15" hidden="false" customHeight="false" outlineLevel="0" collapsed="false">
      <c r="A4" s="4" t="s">
        <v>83</v>
      </c>
      <c r="B4" s="4" t="s">
        <v>84</v>
      </c>
      <c r="C4" s="4" t="s">
        <v>21</v>
      </c>
      <c r="D4" s="4" t="n">
        <v>100000</v>
      </c>
      <c r="E4" s="4" t="n">
        <v>105000</v>
      </c>
      <c r="F4" s="4" t="n">
        <v>108000</v>
      </c>
      <c r="G4" s="4" t="n">
        <v>115000</v>
      </c>
      <c r="H4" s="6" t="n">
        <f aca="false">SUM(D4:G4)</f>
        <v>428000</v>
      </c>
    </row>
    <row r="5" customFormat="false" ht="15" hidden="false" customHeight="false" outlineLevel="0" collapsed="false">
      <c r="A5" s="5" t="s">
        <v>77</v>
      </c>
      <c r="B5" s="5" t="s">
        <v>78</v>
      </c>
      <c r="C5" s="5" t="s">
        <v>79</v>
      </c>
      <c r="D5" s="5" t="n">
        <v>115000</v>
      </c>
      <c r="E5" s="5" t="n">
        <v>120000</v>
      </c>
      <c r="F5" s="5" t="n">
        <v>118000</v>
      </c>
      <c r="G5" s="5" t="n">
        <v>125000</v>
      </c>
      <c r="H5" s="6" t="n">
        <f aca="false">SUM(D5:G5)</f>
        <v>478000</v>
      </c>
    </row>
    <row r="6" customFormat="false" ht="15" hidden="false" customHeight="false" outlineLevel="0" collapsed="false">
      <c r="A6" s="4" t="s">
        <v>40</v>
      </c>
      <c r="B6" s="4" t="s">
        <v>41</v>
      </c>
      <c r="C6" s="4" t="s">
        <v>42</v>
      </c>
      <c r="D6" s="4" t="n">
        <v>105000</v>
      </c>
      <c r="E6" s="4" t="n">
        <v>110000</v>
      </c>
      <c r="F6" s="4" t="n">
        <v>112000</v>
      </c>
      <c r="G6" s="4" t="n">
        <v>120000</v>
      </c>
      <c r="H6" s="6" t="n">
        <f aca="false">SUM(D6:G6)</f>
        <v>447000</v>
      </c>
    </row>
    <row r="7" customFormat="false" ht="15" hidden="false" customHeight="false" outlineLevel="0" collapsed="false">
      <c r="A7" s="5" t="s">
        <v>30</v>
      </c>
      <c r="B7" s="5" t="s">
        <v>31</v>
      </c>
      <c r="C7" s="5" t="s">
        <v>32</v>
      </c>
      <c r="D7" s="5" t="n">
        <v>95000</v>
      </c>
      <c r="E7" s="5" t="n">
        <v>100000</v>
      </c>
      <c r="F7" s="5" t="n">
        <v>102000</v>
      </c>
      <c r="G7" s="5" t="n">
        <v>110000</v>
      </c>
      <c r="H7" s="6" t="n">
        <f aca="false">SUM(D7:G7)</f>
        <v>407000</v>
      </c>
    </row>
    <row r="8" customFormat="false" ht="15" hidden="false" customHeight="false" outlineLevel="0" collapsed="false">
      <c r="A8" s="4" t="s">
        <v>55</v>
      </c>
      <c r="B8" s="4" t="s">
        <v>56</v>
      </c>
      <c r="C8" s="4" t="s">
        <v>57</v>
      </c>
      <c r="D8" s="4" t="n">
        <v>90000</v>
      </c>
      <c r="E8" s="4" t="n">
        <v>95000</v>
      </c>
      <c r="F8" s="4" t="n">
        <v>98000</v>
      </c>
      <c r="G8" s="4" t="n">
        <v>105000</v>
      </c>
      <c r="H8" s="6" t="n">
        <f aca="false">SUM(D8:G8)</f>
        <v>388000</v>
      </c>
    </row>
    <row r="9" customFormat="false" ht="15" hidden="false" customHeight="false" outlineLevel="0" collapsed="false">
      <c r="A9" s="5" t="s">
        <v>19</v>
      </c>
      <c r="B9" s="5" t="s">
        <v>20</v>
      </c>
      <c r="C9" s="5" t="s">
        <v>21</v>
      </c>
      <c r="D9" s="5" t="n">
        <v>100000</v>
      </c>
      <c r="E9" s="5" t="n">
        <v>105000</v>
      </c>
      <c r="F9" s="5" t="n">
        <v>108000</v>
      </c>
      <c r="G9" s="5" t="n">
        <v>115000</v>
      </c>
      <c r="H9" s="6" t="n">
        <f aca="false">SUM(D9:G9)</f>
        <v>428000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2026-04-20T07:20:33Z</dcterms:created>
  <dc:creator>openpyxl</dc:creator>
  <dc:description/>
  <dc:language>en-US</dc:language>
  <cp:lastModifiedBy/>
  <dcterms:modified xsi:type="dcterms:W3CDTF">2026-04-20T07:20:34Z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